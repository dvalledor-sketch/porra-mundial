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se Grupos" sheetId="2" state="visible" r:id="rId2"/>
    <sheet xmlns:r="http://schemas.openxmlformats.org/officeDocument/2006/relationships" name="Premio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rial"/>
      <sz val="10"/>
    </font>
    <font>
      <name val="Calibri"/>
      <b val="1"/>
      <color indexed="65"/>
      <sz val="14"/>
    </font>
    <font>
      <name val="Calibri"/>
      <sz val="11"/>
    </font>
    <font>
      <name val="Calibri"/>
      <b val="1"/>
      <color rgb="FF1F4E78"/>
      <sz val="11"/>
    </font>
    <font>
      <name val="Calibri"/>
      <b val="1"/>
      <sz val="12"/>
    </font>
    <font>
      <name val="Calibri"/>
      <i val="1"/>
      <color rgb="FF3F3F3F"/>
      <sz val="10"/>
    </font>
    <font>
      <name val="Calibri"/>
      <b val="1"/>
      <color rgb="FF1F4E78"/>
      <sz val="10"/>
    </font>
    <font>
      <name val="Calibri"/>
      <b val="1"/>
      <sz val="11"/>
    </font>
    <font>
      <name val="Consolas"/>
      <b val="1"/>
      <color rgb="FF595959"/>
      <sz val="10"/>
    </font>
    <font>
      <name val="Calibri"/>
      <b val="1"/>
      <color rgb="FF1F4E78"/>
      <sz val="12"/>
    </font>
    <font>
      <name val="Calibri"/>
      <i val="1"/>
      <color rgb="FF7F7F7F"/>
      <sz val="9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FE699"/>
        <bgColor indexed="47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indent="1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B2:B10"/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baseColWidth="8" defaultColWidth="8.6796875" defaultRowHeight="14.25"/>
  <cols>
    <col width="2" customWidth="1" min="1" max="1"/>
    <col width="110" customWidth="1" min="2" max="2"/>
  </cols>
  <sheetData>
    <row r="2" ht="27.75" customHeight="1">
      <c r="B2" s="1" t="inlineStr">
        <is>
          <t>PORRA DEL MUNDIAL 2026  —  PLANTILLA FASE DE GRUPOS</t>
        </is>
      </c>
    </row>
    <row r="4" ht="27.75" customHeight="1">
      <c r="B4" s="2" t="inlineStr">
        <is>
          <t>1. Escribe tu ALIAS en la celda C2 de las hojas 'Fase Grupos' y 'Premios'. Recuerda este alias: lo necesitaras en la plantilla de eliminatorias.</t>
        </is>
      </c>
    </row>
    <row r="5" ht="27.75" customHeight="1">
      <c r="B5" s="2" t="inlineStr">
        <is>
          <t>2. Rellena los goles previstos en las columnas amarillas (D = local, E = visitante).</t>
        </is>
      </c>
    </row>
    <row r="6" ht="27.75" customHeight="1">
      <c r="B6" s="2" t="inlineStr">
        <is>
          <t>3. En la hoja 'Premios', escribe el nombre del jugador que crees ganara el MVP, el Goleador y el Portero del torneo.</t>
        </is>
      </c>
    </row>
    <row r="7" ht="27.75" customHeight="1">
      <c r="B7" s="2" t="inlineStr">
        <is>
          <t>4. Guarda el archivo como  porra_TUNOMBRE.xlsx  y dejalo en la carpeta 'pronosticos/'.</t>
        </is>
      </c>
    </row>
    <row r="8" ht="27.75" customHeight="1">
      <c r="B8" s="2" t="inlineStr">
        <is>
          <t>5. Fecha limite: 11 junio 2026 a las 17:00 h (hora Espana).</t>
        </is>
      </c>
    </row>
    <row r="9" ht="27.75" customHeight="1">
      <c r="B9" s="2" t="inlineStr">
        <is>
          <t>6. Puntuacion: Pleno (goles exactos) = 3 pts | Tendencia (ganador/empate) = 2 pts | Fallo = 0 pts.</t>
        </is>
      </c>
    </row>
    <row r="10" ht="27.75" customHeight="1">
      <c r="B10" s="2" t="inlineStr">
        <is>
          <t>7. Tras la fase de grupos recibiras una segunda plantilla para las eliminatorias (porra_TUNOMBRE_elim.xlsx). Usa el MISMO ALIAS.</t>
        </is>
      </c>
    </row>
  </sheetData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AC120"/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baseColWidth="8" defaultColWidth="8.6796875" defaultRowHeight="14.25"/>
  <cols>
    <col width="3" customWidth="1" min="1" max="1"/>
    <col width="22" customWidth="1" min="2" max="2"/>
    <col width="28" customWidth="1" min="3" max="3"/>
    <col width="9" customWidth="1" min="4" max="5"/>
    <col width="28" customWidth="1" min="6" max="6"/>
    <col width="18" customWidth="1" min="7" max="7"/>
    <col width="1.51" customWidth="1" min="8" max="8"/>
    <col width="4.2" customWidth="1" min="9" max="9"/>
    <col width="22" customWidth="1" min="10" max="10"/>
    <col width="4.5" customWidth="1" min="11" max="11"/>
    <col width="4" customWidth="1" min="12" max="14"/>
    <col width="4.5" customWidth="1" min="15" max="18"/>
    <col hidden="1" width="13" customWidth="1" min="20" max="29"/>
  </cols>
  <sheetData>
    <row r="1" ht="25.5" customHeight="1">
      <c r="B1" s="1" t="inlineStr">
        <is>
          <t>FASE DE GRUPOS  ·  72 partidos</t>
        </is>
      </c>
    </row>
    <row r="2" ht="21.75" customHeight="1">
      <c r="B2" s="3" t="inlineStr">
        <is>
          <t>Alias / Nombre de Apuesta:</t>
        </is>
      </c>
      <c r="C2" s="4" t="inlineStr">
        <is>
          <t>TestUser2</t>
        </is>
      </c>
      <c r="D2" s="22" t="n"/>
      <c r="E2" s="22" t="n"/>
      <c r="F2" s="22" t="n"/>
      <c r="G2" s="23" t="n"/>
    </row>
    <row r="3" ht="19.5" customHeight="1">
      <c r="B3" s="5" t="inlineStr">
        <is>
          <t>Rellena los goles previstos en cada partido. Fecha limite: 11 jun 2026 a las 17:00 h.</t>
        </is>
      </c>
      <c r="C3" s="22" t="n"/>
      <c r="D3" s="22" t="n"/>
      <c r="E3" s="22" t="n"/>
      <c r="F3" s="22" t="n"/>
      <c r="G3" s="23" t="n"/>
    </row>
    <row r="5" ht="21.75" customHeight="1">
      <c r="B5" s="6" t="inlineStr">
        <is>
          <t>ID Partido</t>
        </is>
      </c>
      <c r="C5" s="6" t="inlineStr">
        <is>
          <t>Equipo Local</t>
        </is>
      </c>
      <c r="D5" s="6" t="inlineStr">
        <is>
          <t>Goles L</t>
        </is>
      </c>
      <c r="E5" s="6" t="inlineStr">
        <is>
          <t>Goles V</t>
        </is>
      </c>
      <c r="F5" s="6" t="inlineStr">
        <is>
          <t>Equipo Visitante</t>
        </is>
      </c>
      <c r="G5" s="6" t="inlineStr">
        <is>
          <t>Fase / Grupo</t>
        </is>
      </c>
    </row>
    <row r="6" ht="18" customHeight="1">
      <c r="B6" s="7" t="inlineStr">
        <is>
          <t xml:space="preserve">  Grupo A</t>
        </is>
      </c>
      <c r="I6" s="8" t="inlineStr">
        <is>
          <t>Pos</t>
        </is>
      </c>
      <c r="J6" s="8" t="inlineStr">
        <is>
          <t>Equipo</t>
        </is>
      </c>
      <c r="K6" s="8" t="inlineStr">
        <is>
          <t>PJ</t>
        </is>
      </c>
      <c r="L6" s="8" t="inlineStr">
        <is>
          <t>G</t>
        </is>
      </c>
      <c r="M6" s="8" t="inlineStr">
        <is>
          <t>E</t>
        </is>
      </c>
      <c r="N6" s="8" t="inlineStr">
        <is>
          <t>P</t>
        </is>
      </c>
      <c r="O6" s="8" t="inlineStr">
        <is>
          <t>GF</t>
        </is>
      </c>
      <c r="P6" s="8" t="inlineStr">
        <is>
          <t>GA</t>
        </is>
      </c>
      <c r="Q6" s="8" t="inlineStr">
        <is>
          <t>DG</t>
        </is>
      </c>
      <c r="R6" s="8" t="inlineStr">
        <is>
          <t>Pts</t>
        </is>
      </c>
    </row>
    <row r="7" ht="16.5" customHeight="1">
      <c r="B7" s="9" t="inlineStr">
        <is>
          <t>México 🇲🇽</t>
        </is>
      </c>
      <c r="C7" s="10" t="inlineStr">
        <is>
          <t>G-A1-A2</t>
        </is>
      </c>
      <c r="D7" s="11" t="n">
        <v>2</v>
      </c>
      <c r="E7" s="11" t="n">
        <v>0</v>
      </c>
      <c r="F7" s="12" t="inlineStr">
        <is>
          <t>🇿🇦 Sudáfrica</t>
        </is>
      </c>
      <c r="G7" s="13" t="inlineStr">
        <is>
          <t>Grupo A · J1</t>
        </is>
      </c>
      <c r="I7" s="14" t="n">
        <v>1</v>
      </c>
      <c r="J7" s="15">
        <f>INDEX(T7:T10,MATCH(LARGE(AC7:AC10,1),AC7:AC10,0))</f>
        <v/>
      </c>
      <c r="K7" s="14">
        <f>INDEX(U7:U10,MATCH(LARGE(AC7:AC10,1),AC7:AC10,0))</f>
        <v/>
      </c>
      <c r="L7" s="14">
        <f>INDEX(V7:V10,MATCH(LARGE(AC7:AC10,1),AC7:AC10,0))</f>
        <v/>
      </c>
      <c r="M7" s="14">
        <f>INDEX(W7:W10,MATCH(LARGE(AC7:AC10,1),AC7:AC10,0))</f>
        <v/>
      </c>
      <c r="N7" s="14">
        <f>INDEX(X7:X10,MATCH(LARGE(AC7:AC10,1),AC7:AC10,0))</f>
        <v/>
      </c>
      <c r="O7" s="14">
        <f>INDEX(Y7:Y10,MATCH(LARGE(AC7:AC10,1),AC7:AC10,0))</f>
        <v/>
      </c>
      <c r="P7" s="14">
        <f>INDEX(Z7:Z10,MATCH(LARGE(AC7:AC10,1),AC7:AC10,0))</f>
        <v/>
      </c>
      <c r="Q7" s="14">
        <f>INDEX(AA7:AA10,MATCH(LARGE(AC7:AC10,1),AC7:AC10,0))</f>
        <v/>
      </c>
      <c r="R7" s="14">
        <f>INDEX(AB7:AB10,MATCH(LARGE(AC7:AC10,1),AC7:AC10,0))</f>
        <v/>
      </c>
      <c r="T7">
        <f>B7</f>
        <v/>
      </c>
      <c r="U7">
        <f>IF(AND(ISNUMBER(D7),ISNUMBER(E7)),1,0)+IF(AND(ISNUMBER(D9),ISNUMBER(E9)),1,0)+IF(AND(ISNUMBER(D11),ISNUMBER(E11)),1,0)</f>
        <v/>
      </c>
      <c r="V7">
        <f>IF(AND(ISNUMBER(D7),ISNUMBER(E7),D7&gt;E7),1,0)+IF(AND(ISNUMBER(D9),ISNUMBER(E9),D9&gt;E9),1,0)+IF(AND(ISNUMBER(D11),ISNUMBER(E11),D11&gt;E11),1,0)</f>
        <v/>
      </c>
      <c r="W7">
        <f>IF(AND(ISNUMBER(D7),ISNUMBER(E7),D7=E7),1,0)+IF(AND(ISNUMBER(D9),ISNUMBER(E9),D9=E9),1,0)+IF(AND(ISNUMBER(D11),ISNUMBER(E11),D11=E11),1,0)</f>
        <v/>
      </c>
      <c r="X7">
        <f>U7-V7-W7</f>
        <v/>
      </c>
      <c r="Y7">
        <f>IF(ISNUMBER(D7),D7,0)+IF(ISNUMBER(D9),D9,0)+IF(ISNUMBER(D11),D11,0)</f>
        <v/>
      </c>
      <c r="Z7">
        <f>IF(ISNUMBER(E7),E7,0)+IF(ISNUMBER(E9),E9,0)+IF(ISNUMBER(E11),E11,0)</f>
        <v/>
      </c>
      <c r="AA7">
        <f>Y7-Z7</f>
        <v/>
      </c>
      <c r="AB7">
        <f>V7*3+W7</f>
        <v/>
      </c>
      <c r="AC7">
        <f>AB7*1000000+(AA7+100)*1000+Y7*10+4</f>
        <v/>
      </c>
    </row>
    <row r="8" ht="16.5" customHeight="1">
      <c r="B8" s="9" t="inlineStr">
        <is>
          <t>Corea del Sur 🇰🇷</t>
        </is>
      </c>
      <c r="C8" s="10" t="inlineStr">
        <is>
          <t>G-A3-A4</t>
        </is>
      </c>
      <c r="D8" s="11" t="n">
        <v>1</v>
      </c>
      <c r="E8" s="11" t="n">
        <v>1</v>
      </c>
      <c r="F8" s="12" t="inlineStr">
        <is>
          <t>🇨🇿 Chequia</t>
        </is>
      </c>
      <c r="G8" s="13" t="inlineStr">
        <is>
          <t>Grupo A · J1</t>
        </is>
      </c>
      <c r="I8" s="14" t="n">
        <v>2</v>
      </c>
      <c r="J8" s="15">
        <f>INDEX(T7:T10,MATCH(LARGE(AC7:AC10,2),AC7:AC10,0))</f>
        <v/>
      </c>
      <c r="K8" s="14">
        <f>INDEX(U7:U10,MATCH(LARGE(AC7:AC10,2),AC7:AC10,0))</f>
        <v/>
      </c>
      <c r="L8" s="14">
        <f>INDEX(V7:V10,MATCH(LARGE(AC7:AC10,2),AC7:AC10,0))</f>
        <v/>
      </c>
      <c r="M8" s="14">
        <f>INDEX(W7:W10,MATCH(LARGE(AC7:AC10,2),AC7:AC10,0))</f>
        <v/>
      </c>
      <c r="N8" s="14">
        <f>INDEX(X7:X10,MATCH(LARGE(AC7:AC10,2),AC7:AC10,0))</f>
        <v/>
      </c>
      <c r="O8" s="14">
        <f>INDEX(Y7:Y10,MATCH(LARGE(AC7:AC10,2),AC7:AC10,0))</f>
        <v/>
      </c>
      <c r="P8" s="14">
        <f>INDEX(Z7:Z10,MATCH(LARGE(AC7:AC10,2),AC7:AC10,0))</f>
        <v/>
      </c>
      <c r="Q8" s="14">
        <f>INDEX(AA7:AA10,MATCH(LARGE(AC7:AC10,2),AC7:AC10,0))</f>
        <v/>
      </c>
      <c r="R8" s="14">
        <f>INDEX(AB7:AB10,MATCH(LARGE(AC7:AC10,2),AC7:AC10,0))</f>
        <v/>
      </c>
      <c r="T8">
        <f>F7</f>
        <v/>
      </c>
      <c r="U8">
        <f>IF(AND(ISNUMBER(D10),ISNUMBER(E10)),1,0)+IF(AND(ISNUMBER(D12),ISNUMBER(E12)),1,0)+IF(AND(ISNUMBER(D7),ISNUMBER(E7)),1,0)</f>
        <v/>
      </c>
      <c r="V8">
        <f>IF(AND(ISNUMBER(D10),ISNUMBER(E10),D10&gt;E10),1,0)+IF(AND(ISNUMBER(D12),ISNUMBER(E12),D12&gt;E12),1,0)+IF(AND(ISNUMBER(D7),ISNUMBER(E7),E7&gt;D7),1,0)</f>
        <v/>
      </c>
      <c r="W8">
        <f>IF(AND(ISNUMBER(D10),ISNUMBER(E10),D10=E10),1,0)+IF(AND(ISNUMBER(D12),ISNUMBER(E12),D12=E12),1,0)+IF(AND(ISNUMBER(D7),ISNUMBER(E7),D7=E7),1,0)</f>
        <v/>
      </c>
      <c r="X8">
        <f>U8-V8-W8</f>
        <v/>
      </c>
      <c r="Y8">
        <f>IF(ISNUMBER(D10),D10,0)+IF(ISNUMBER(D12),D12,0)+IF(ISNUMBER(E7),E7,0)</f>
        <v/>
      </c>
      <c r="Z8">
        <f>IF(ISNUMBER(E10),E10,0)+IF(ISNUMBER(E12),E12,0)+IF(ISNUMBER(D7),D7,0)</f>
        <v/>
      </c>
      <c r="AA8">
        <f>Y8-Z8</f>
        <v/>
      </c>
      <c r="AB8">
        <f>V8*3+W8</f>
        <v/>
      </c>
      <c r="AC8">
        <f>AB8*1000000+(AA8+100)*1000+Y8*10+3</f>
        <v/>
      </c>
    </row>
    <row r="9" ht="16.5" customHeight="1">
      <c r="B9" s="9" t="inlineStr">
        <is>
          <t>México 🇲🇽</t>
        </is>
      </c>
      <c r="C9" s="10" t="inlineStr">
        <is>
          <t>G-A1-A3</t>
        </is>
      </c>
      <c r="D9" s="11" t="n">
        <v>2</v>
      </c>
      <c r="E9" s="11" t="n">
        <v>0</v>
      </c>
      <c r="F9" s="12" t="inlineStr">
        <is>
          <t>🇰🇷 Corea del Sur</t>
        </is>
      </c>
      <c r="G9" s="13" t="inlineStr">
        <is>
          <t>Grupo A · J2</t>
        </is>
      </c>
      <c r="I9" s="16" t="n">
        <v>3</v>
      </c>
      <c r="J9" s="17">
        <f>INDEX(T7:T10,MATCH(LARGE(AC7:AC10,3),AC7:AC10,0))</f>
        <v/>
      </c>
      <c r="K9" s="16">
        <f>INDEX(U7:U10,MATCH(LARGE(AC7:AC10,3),AC7:AC10,0))</f>
        <v/>
      </c>
      <c r="L9" s="16">
        <f>INDEX(V7:V10,MATCH(LARGE(AC7:AC10,3),AC7:AC10,0))</f>
        <v/>
      </c>
      <c r="M9" s="16">
        <f>INDEX(W7:W10,MATCH(LARGE(AC7:AC10,3),AC7:AC10,0))</f>
        <v/>
      </c>
      <c r="N9" s="16">
        <f>INDEX(X7:X10,MATCH(LARGE(AC7:AC10,3),AC7:AC10,0))</f>
        <v/>
      </c>
      <c r="O9" s="16">
        <f>INDEX(Y7:Y10,MATCH(LARGE(AC7:AC10,3),AC7:AC10,0))</f>
        <v/>
      </c>
      <c r="P9" s="16">
        <f>INDEX(Z7:Z10,MATCH(LARGE(AC7:AC10,3),AC7:AC10,0))</f>
        <v/>
      </c>
      <c r="Q9" s="16">
        <f>INDEX(AA7:AA10,MATCH(LARGE(AC7:AC10,3),AC7:AC10,0))</f>
        <v/>
      </c>
      <c r="R9" s="16">
        <f>INDEX(AB7:AB10,MATCH(LARGE(AC7:AC10,3),AC7:AC10,0))</f>
        <v/>
      </c>
      <c r="T9">
        <f>B8</f>
        <v/>
      </c>
      <c r="U9">
        <f>IF(AND(ISNUMBER(D8),ISNUMBER(E8)),1,0)+IF(AND(ISNUMBER(D9),ISNUMBER(E9)),1,0)+IF(AND(ISNUMBER(D12),ISNUMBER(E12)),1,0)</f>
        <v/>
      </c>
      <c r="V9">
        <f>IF(AND(ISNUMBER(D8),ISNUMBER(E8),D8&gt;E8),1,0)+IF(AND(ISNUMBER(D9),ISNUMBER(E9),E9&gt;D9),1,0)+IF(AND(ISNUMBER(D12),ISNUMBER(E12),E12&gt;D12),1,0)</f>
        <v/>
      </c>
      <c r="W9">
        <f>IF(AND(ISNUMBER(D8),ISNUMBER(E8),D8=E8),1,0)+IF(AND(ISNUMBER(D9),ISNUMBER(E9),D9=E9),1,0)+IF(AND(ISNUMBER(D12),ISNUMBER(E12),D12=E12),1,0)</f>
        <v/>
      </c>
      <c r="X9">
        <f>U9-V9-W9</f>
        <v/>
      </c>
      <c r="Y9">
        <f>IF(ISNUMBER(D8),D8,0)+IF(ISNUMBER(E9),E9,0)+IF(ISNUMBER(E12),E12,0)</f>
        <v/>
      </c>
      <c r="Z9">
        <f>IF(ISNUMBER(E8),E8,0)+IF(ISNUMBER(D9),D9,0)+IF(ISNUMBER(D12),D12,0)</f>
        <v/>
      </c>
      <c r="AA9">
        <f>Y9-Z9</f>
        <v/>
      </c>
      <c r="AB9">
        <f>V9*3+W9</f>
        <v/>
      </c>
      <c r="AC9">
        <f>AB9*1000000+(AA9+100)*1000+Y9*10+2</f>
        <v/>
      </c>
    </row>
    <row r="10" ht="16.5" customHeight="1">
      <c r="B10" s="9" t="inlineStr">
        <is>
          <t>Sudáfrica 🇿🇦</t>
        </is>
      </c>
      <c r="C10" s="10" t="inlineStr">
        <is>
          <t>G-A2-A4</t>
        </is>
      </c>
      <c r="D10" s="11" t="n">
        <v>1</v>
      </c>
      <c r="E10" s="11" t="n">
        <v>2</v>
      </c>
      <c r="F10" s="12" t="inlineStr">
        <is>
          <t>🇨🇿 Chequia</t>
        </is>
      </c>
      <c r="G10" s="13" t="inlineStr">
        <is>
          <t>Grupo A · J2</t>
        </is>
      </c>
      <c r="I10" s="16" t="n">
        <v>4</v>
      </c>
      <c r="J10" s="17">
        <f>INDEX(T7:T10,MATCH(LARGE(AC7:AC10,4),AC7:AC10,0))</f>
        <v/>
      </c>
      <c r="K10" s="16">
        <f>INDEX(U7:U10,MATCH(LARGE(AC7:AC10,4),AC7:AC10,0))</f>
        <v/>
      </c>
      <c r="L10" s="16">
        <f>INDEX(V7:V10,MATCH(LARGE(AC7:AC10,4),AC7:AC10,0))</f>
        <v/>
      </c>
      <c r="M10" s="16">
        <f>INDEX(W7:W10,MATCH(LARGE(AC7:AC10,4),AC7:AC10,0))</f>
        <v/>
      </c>
      <c r="N10" s="16">
        <f>INDEX(X7:X10,MATCH(LARGE(AC7:AC10,4),AC7:AC10,0))</f>
        <v/>
      </c>
      <c r="O10" s="16">
        <f>INDEX(Y7:Y10,MATCH(LARGE(AC7:AC10,4),AC7:AC10,0))</f>
        <v/>
      </c>
      <c r="P10" s="16">
        <f>INDEX(Z7:Z10,MATCH(LARGE(AC7:AC10,4),AC7:AC10,0))</f>
        <v/>
      </c>
      <c r="Q10" s="16">
        <f>INDEX(AA7:AA10,MATCH(LARGE(AC7:AC10,4),AC7:AC10,0))</f>
        <v/>
      </c>
      <c r="R10" s="16">
        <f>INDEX(AB7:AB10,MATCH(LARGE(AC7:AC10,4),AC7:AC10,0))</f>
        <v/>
      </c>
      <c r="T10">
        <f>F8</f>
        <v/>
      </c>
      <c r="U10">
        <f>IF(AND(ISNUMBER(D8),ISNUMBER(E8)),1,0)+IF(AND(ISNUMBER(D10),ISNUMBER(E10)),1,0)+IF(AND(ISNUMBER(D11),ISNUMBER(E11)),1,0)</f>
        <v/>
      </c>
      <c r="V10">
        <f>IF(AND(ISNUMBER(D8),ISNUMBER(E8),E8&gt;D8),1,0)+IF(AND(ISNUMBER(D10),ISNUMBER(E10),E10&gt;D10),1,0)+IF(AND(ISNUMBER(D11),ISNUMBER(E11),E11&gt;D11),1,0)</f>
        <v/>
      </c>
      <c r="W10">
        <f>IF(AND(ISNUMBER(D8),ISNUMBER(E8),D8=E8),1,0)+IF(AND(ISNUMBER(D10),ISNUMBER(E10),D10=E10),1,0)+IF(AND(ISNUMBER(D11),ISNUMBER(E11),D11=E11),1,0)</f>
        <v/>
      </c>
      <c r="X10">
        <f>U10-V10-W10</f>
        <v/>
      </c>
      <c r="Y10">
        <f>IF(ISNUMBER(E8),E8,0)+IF(ISNUMBER(E10),E10,0)+IF(ISNUMBER(E11),E11,0)</f>
        <v/>
      </c>
      <c r="Z10">
        <f>IF(ISNUMBER(D8),D8,0)+IF(ISNUMBER(D10),D10,0)+IF(ISNUMBER(D11),D11,0)</f>
        <v/>
      </c>
      <c r="AA10">
        <f>Y10-Z10</f>
        <v/>
      </c>
      <c r="AB10">
        <f>V10*3+W10</f>
        <v/>
      </c>
      <c r="AC10">
        <f>AB10*1000000+(AA10+100)*1000+Y10*10+1</f>
        <v/>
      </c>
    </row>
    <row r="11" ht="16.5" customHeight="1">
      <c r="B11" s="9" t="inlineStr">
        <is>
          <t>México 🇲🇽</t>
        </is>
      </c>
      <c r="C11" s="10" t="inlineStr">
        <is>
          <t>G-A1-A4</t>
        </is>
      </c>
      <c r="D11" s="11" t="n">
        <v>2</v>
      </c>
      <c r="E11" s="11" t="n">
        <v>1</v>
      </c>
      <c r="F11" s="12" t="inlineStr">
        <is>
          <t>🇨🇿 Chequia</t>
        </is>
      </c>
      <c r="G11" s="13" t="inlineStr">
        <is>
          <t>Grupo A · J3</t>
        </is>
      </c>
    </row>
    <row r="12" ht="16.5" customHeight="1">
      <c r="B12" s="9" t="inlineStr">
        <is>
          <t>Sudáfrica 🇿🇦</t>
        </is>
      </c>
      <c r="C12" s="10" t="inlineStr">
        <is>
          <t>G-A2-A3</t>
        </is>
      </c>
      <c r="D12" s="11" t="n">
        <v>0</v>
      </c>
      <c r="E12" s="11" t="n">
        <v>2</v>
      </c>
      <c r="F12" s="12" t="inlineStr">
        <is>
          <t>🇰🇷 Corea del Sur</t>
        </is>
      </c>
      <c r="G12" s="13" t="inlineStr">
        <is>
          <t>Grupo A · J3</t>
        </is>
      </c>
    </row>
    <row r="13" ht="18" customHeight="1">
      <c r="B13" s="18" t="inlineStr">
        <is>
          <t xml:space="preserve">  Grupo B</t>
        </is>
      </c>
      <c r="I13" s="8" t="inlineStr">
        <is>
          <t>Pos</t>
        </is>
      </c>
      <c r="J13" s="8" t="inlineStr">
        <is>
          <t>Equipo</t>
        </is>
      </c>
      <c r="K13" s="8" t="inlineStr">
        <is>
          <t>PJ</t>
        </is>
      </c>
      <c r="L13" s="8" t="inlineStr">
        <is>
          <t>G</t>
        </is>
      </c>
      <c r="M13" s="8" t="inlineStr">
        <is>
          <t>E</t>
        </is>
      </c>
      <c r="N13" s="8" t="inlineStr">
        <is>
          <t>P</t>
        </is>
      </c>
      <c r="O13" s="8" t="inlineStr">
        <is>
          <t>GF</t>
        </is>
      </c>
      <c r="P13" s="8" t="inlineStr">
        <is>
          <t>GA</t>
        </is>
      </c>
      <c r="Q13" s="8" t="inlineStr">
        <is>
          <t>DG</t>
        </is>
      </c>
      <c r="R13" s="8" t="inlineStr">
        <is>
          <t>Pts</t>
        </is>
      </c>
    </row>
    <row r="14" ht="16.5" customHeight="1">
      <c r="B14" s="9" t="inlineStr">
        <is>
          <t>Canadá 🇨🇦</t>
        </is>
      </c>
      <c r="C14" s="10" t="inlineStr">
        <is>
          <t>G-B1-B2</t>
        </is>
      </c>
      <c r="D14" s="11" t="n">
        <v>1</v>
      </c>
      <c r="E14" s="11" t="n">
        <v>1</v>
      </c>
      <c r="F14" s="12" t="inlineStr">
        <is>
          <t>🇨🇭 Suiza</t>
        </is>
      </c>
      <c r="G14" s="13" t="inlineStr">
        <is>
          <t>Grupo B · J1</t>
        </is>
      </c>
      <c r="I14" s="14" t="n">
        <v>1</v>
      </c>
      <c r="J14" s="15">
        <f>INDEX(T14:T17,MATCH(LARGE(AC14:AC17,1),AC14:AC17,0))</f>
        <v/>
      </c>
      <c r="K14" s="14">
        <f>INDEX(U14:U17,MATCH(LARGE(AC14:AC17,1),AC14:AC17,0))</f>
        <v/>
      </c>
      <c r="L14" s="14">
        <f>INDEX(V14:V17,MATCH(LARGE(AC14:AC17,1),AC14:AC17,0))</f>
        <v/>
      </c>
      <c r="M14" s="14">
        <f>INDEX(W14:W17,MATCH(LARGE(AC14:AC17,1),AC14:AC17,0))</f>
        <v/>
      </c>
      <c r="N14" s="14">
        <f>INDEX(X14:X17,MATCH(LARGE(AC14:AC17,1),AC14:AC17,0))</f>
        <v/>
      </c>
      <c r="O14" s="14">
        <f>INDEX(Y14:Y17,MATCH(LARGE(AC14:AC17,1),AC14:AC17,0))</f>
        <v/>
      </c>
      <c r="P14" s="14">
        <f>INDEX(Z14:Z17,MATCH(LARGE(AC14:AC17,1),AC14:AC17,0))</f>
        <v/>
      </c>
      <c r="Q14" s="14">
        <f>INDEX(AA14:AA17,MATCH(LARGE(AC14:AC17,1),AC14:AC17,0))</f>
        <v/>
      </c>
      <c r="R14" s="14">
        <f>INDEX(AB14:AB17,MATCH(LARGE(AC14:AC17,1),AC14:AC17,0))</f>
        <v/>
      </c>
      <c r="T14">
        <f>B14</f>
        <v/>
      </c>
      <c r="U14">
        <f>IF(AND(ISNUMBER(D14),ISNUMBER(E14)),1,0)+IF(AND(ISNUMBER(D16),ISNUMBER(E16)),1,0)+IF(AND(ISNUMBER(D18),ISNUMBER(E18)),1,0)</f>
        <v/>
      </c>
      <c r="V14">
        <f>IF(AND(ISNUMBER(D14),ISNUMBER(E14),D14&gt;E14),1,0)+IF(AND(ISNUMBER(D16),ISNUMBER(E16),D16&gt;E16),1,0)+IF(AND(ISNUMBER(D18),ISNUMBER(E18),D18&gt;E18),1,0)</f>
        <v/>
      </c>
      <c r="W14">
        <f>IF(AND(ISNUMBER(D14),ISNUMBER(E14),D14=E14),1,0)+IF(AND(ISNUMBER(D16),ISNUMBER(E16),D16=E16),1,0)+IF(AND(ISNUMBER(D18),ISNUMBER(E18),D18=E18),1,0)</f>
        <v/>
      </c>
      <c r="X14">
        <f>U14-V14-W14</f>
        <v/>
      </c>
      <c r="Y14">
        <f>IF(ISNUMBER(D14),D14,0)+IF(ISNUMBER(D16),D16,0)+IF(ISNUMBER(D18),D18,0)</f>
        <v/>
      </c>
      <c r="Z14">
        <f>IF(ISNUMBER(E14),E14,0)+IF(ISNUMBER(E16),E16,0)+IF(ISNUMBER(E18),E18,0)</f>
        <v/>
      </c>
      <c r="AA14">
        <f>Y14-Z14</f>
        <v/>
      </c>
      <c r="AB14">
        <f>V14*3+W14</f>
        <v/>
      </c>
      <c r="AC14">
        <f>AB14*1000000+(AA14+100)*1000+Y14*10+4</f>
        <v/>
      </c>
    </row>
    <row r="15" ht="16.5" customHeight="1">
      <c r="B15" s="9" t="inlineStr">
        <is>
          <t>Catar 🇶🇦</t>
        </is>
      </c>
      <c r="C15" s="10" t="inlineStr">
        <is>
          <t>G-B3-B4</t>
        </is>
      </c>
      <c r="D15" s="11" t="n">
        <v>0</v>
      </c>
      <c r="E15" s="11" t="n">
        <v>3</v>
      </c>
      <c r="F15" s="12" t="inlineStr">
        <is>
          <t>🇧🇦 Bosnia y Herzegovina</t>
        </is>
      </c>
      <c r="G15" s="13" t="inlineStr">
        <is>
          <t>Grupo B · J1</t>
        </is>
      </c>
      <c r="I15" s="14" t="n">
        <v>2</v>
      </c>
      <c r="J15" s="15">
        <f>INDEX(T14:T17,MATCH(LARGE(AC14:AC17,2),AC14:AC17,0))</f>
        <v/>
      </c>
      <c r="K15" s="14">
        <f>INDEX(U14:U17,MATCH(LARGE(AC14:AC17,2),AC14:AC17,0))</f>
        <v/>
      </c>
      <c r="L15" s="14">
        <f>INDEX(V14:V17,MATCH(LARGE(AC14:AC17,2),AC14:AC17,0))</f>
        <v/>
      </c>
      <c r="M15" s="14">
        <f>INDEX(W14:W17,MATCH(LARGE(AC14:AC17,2),AC14:AC17,0))</f>
        <v/>
      </c>
      <c r="N15" s="14">
        <f>INDEX(X14:X17,MATCH(LARGE(AC14:AC17,2),AC14:AC17,0))</f>
        <v/>
      </c>
      <c r="O15" s="14">
        <f>INDEX(Y14:Y17,MATCH(LARGE(AC14:AC17,2),AC14:AC17,0))</f>
        <v/>
      </c>
      <c r="P15" s="14">
        <f>INDEX(Z14:Z17,MATCH(LARGE(AC14:AC17,2),AC14:AC17,0))</f>
        <v/>
      </c>
      <c r="Q15" s="14">
        <f>INDEX(AA14:AA17,MATCH(LARGE(AC14:AC17,2),AC14:AC17,0))</f>
        <v/>
      </c>
      <c r="R15" s="14">
        <f>INDEX(AB14:AB17,MATCH(LARGE(AC14:AC17,2),AC14:AC17,0))</f>
        <v/>
      </c>
      <c r="T15">
        <f>F14</f>
        <v/>
      </c>
      <c r="U15">
        <f>IF(AND(ISNUMBER(D17),ISNUMBER(E17)),1,0)+IF(AND(ISNUMBER(D19),ISNUMBER(E19)),1,0)+IF(AND(ISNUMBER(D14),ISNUMBER(E14)),1,0)</f>
        <v/>
      </c>
      <c r="V15">
        <f>IF(AND(ISNUMBER(D17),ISNUMBER(E17),D17&gt;E17),1,0)+IF(AND(ISNUMBER(D19),ISNUMBER(E19),D19&gt;E19),1,0)+IF(AND(ISNUMBER(D14),ISNUMBER(E14),E14&gt;D14),1,0)</f>
        <v/>
      </c>
      <c r="W15">
        <f>IF(AND(ISNUMBER(D17),ISNUMBER(E17),D17=E17),1,0)+IF(AND(ISNUMBER(D19),ISNUMBER(E19),D19=E19),1,0)+IF(AND(ISNUMBER(D14),ISNUMBER(E14),D14=E14),1,0)</f>
        <v/>
      </c>
      <c r="X15">
        <f>U15-V15-W15</f>
        <v/>
      </c>
      <c r="Y15">
        <f>IF(ISNUMBER(D17),D17,0)+IF(ISNUMBER(D19),D19,0)+IF(ISNUMBER(E14),E14,0)</f>
        <v/>
      </c>
      <c r="Z15">
        <f>IF(ISNUMBER(E17),E17,0)+IF(ISNUMBER(E19),E19,0)+IF(ISNUMBER(D14),D14,0)</f>
        <v/>
      </c>
      <c r="AA15">
        <f>Y15-Z15</f>
        <v/>
      </c>
      <c r="AB15">
        <f>V15*3+W15</f>
        <v/>
      </c>
      <c r="AC15">
        <f>AB15*1000000+(AA15+100)*1000+Y15*10+3</f>
        <v/>
      </c>
    </row>
    <row r="16" ht="16.5" customHeight="1">
      <c r="B16" s="9" t="inlineStr">
        <is>
          <t>Canadá 🇨🇦</t>
        </is>
      </c>
      <c r="C16" s="10" t="inlineStr">
        <is>
          <t>G-B1-B3</t>
        </is>
      </c>
      <c r="D16" s="11" t="n">
        <v>4</v>
      </c>
      <c r="E16" s="11" t="n">
        <v>0</v>
      </c>
      <c r="F16" s="12" t="inlineStr">
        <is>
          <t>🇶🇦 Catar</t>
        </is>
      </c>
      <c r="G16" s="13" t="inlineStr">
        <is>
          <t>Grupo B · J2</t>
        </is>
      </c>
      <c r="I16" s="16" t="n">
        <v>3</v>
      </c>
      <c r="J16" s="17">
        <f>INDEX(T14:T17,MATCH(LARGE(AC14:AC17,3),AC14:AC17,0))</f>
        <v/>
      </c>
      <c r="K16" s="16">
        <f>INDEX(U14:U17,MATCH(LARGE(AC14:AC17,3),AC14:AC17,0))</f>
        <v/>
      </c>
      <c r="L16" s="16">
        <f>INDEX(V14:V17,MATCH(LARGE(AC14:AC17,3),AC14:AC17,0))</f>
        <v/>
      </c>
      <c r="M16" s="16">
        <f>INDEX(W14:W17,MATCH(LARGE(AC14:AC17,3),AC14:AC17,0))</f>
        <v/>
      </c>
      <c r="N16" s="16">
        <f>INDEX(X14:X17,MATCH(LARGE(AC14:AC17,3),AC14:AC17,0))</f>
        <v/>
      </c>
      <c r="O16" s="16">
        <f>INDEX(Y14:Y17,MATCH(LARGE(AC14:AC17,3),AC14:AC17,0))</f>
        <v/>
      </c>
      <c r="P16" s="16">
        <f>INDEX(Z14:Z17,MATCH(LARGE(AC14:AC17,3),AC14:AC17,0))</f>
        <v/>
      </c>
      <c r="Q16" s="16">
        <f>INDEX(AA14:AA17,MATCH(LARGE(AC14:AC17,3),AC14:AC17,0))</f>
        <v/>
      </c>
      <c r="R16" s="16">
        <f>INDEX(AB14:AB17,MATCH(LARGE(AC14:AC17,3),AC14:AC17,0))</f>
        <v/>
      </c>
      <c r="T16">
        <f>B15</f>
        <v/>
      </c>
      <c r="U16">
        <f>IF(AND(ISNUMBER(D15),ISNUMBER(E15)),1,0)+IF(AND(ISNUMBER(D16),ISNUMBER(E16)),1,0)+IF(AND(ISNUMBER(D19),ISNUMBER(E19)),1,0)</f>
        <v/>
      </c>
      <c r="V16">
        <f>IF(AND(ISNUMBER(D15),ISNUMBER(E15),D15&gt;E15),1,0)+IF(AND(ISNUMBER(D16),ISNUMBER(E16),E16&gt;D16),1,0)+IF(AND(ISNUMBER(D19),ISNUMBER(E19),E19&gt;D19),1,0)</f>
        <v/>
      </c>
      <c r="W16">
        <f>IF(AND(ISNUMBER(D15),ISNUMBER(E15),D15=E15),1,0)+IF(AND(ISNUMBER(D16),ISNUMBER(E16),D16=E16),1,0)+IF(AND(ISNUMBER(D19),ISNUMBER(E19),D19=E19),1,0)</f>
        <v/>
      </c>
      <c r="X16">
        <f>U16-V16-W16</f>
        <v/>
      </c>
      <c r="Y16">
        <f>IF(ISNUMBER(D15),D15,0)+IF(ISNUMBER(E16),E16,0)+IF(ISNUMBER(E19),E19,0)</f>
        <v/>
      </c>
      <c r="Z16">
        <f>IF(ISNUMBER(E15),E15,0)+IF(ISNUMBER(D16),D16,0)+IF(ISNUMBER(D19),D19,0)</f>
        <v/>
      </c>
      <c r="AA16">
        <f>Y16-Z16</f>
        <v/>
      </c>
      <c r="AB16">
        <f>V16*3+W16</f>
        <v/>
      </c>
      <c r="AC16">
        <f>AB16*1000000+(AA16+100)*1000+Y16*10+2</f>
        <v/>
      </c>
    </row>
    <row r="17" ht="16.5" customHeight="1">
      <c r="B17" s="9" t="inlineStr">
        <is>
          <t>Suiza 🇨🇭</t>
        </is>
      </c>
      <c r="C17" s="10" t="inlineStr">
        <is>
          <t>G-B2-B4</t>
        </is>
      </c>
      <c r="D17" s="11" t="n">
        <v>2</v>
      </c>
      <c r="E17" s="11" t="n">
        <v>1</v>
      </c>
      <c r="F17" s="12" t="inlineStr">
        <is>
          <t>🇧🇦 Bosnia y Herzegovina</t>
        </is>
      </c>
      <c r="G17" s="13" t="inlineStr">
        <is>
          <t>Grupo B · J2</t>
        </is>
      </c>
      <c r="I17" s="16" t="n">
        <v>4</v>
      </c>
      <c r="J17" s="17">
        <f>INDEX(T14:T17,MATCH(LARGE(AC14:AC17,4),AC14:AC17,0))</f>
        <v/>
      </c>
      <c r="K17" s="16">
        <f>INDEX(U14:U17,MATCH(LARGE(AC14:AC17,4),AC14:AC17,0))</f>
        <v/>
      </c>
      <c r="L17" s="16">
        <f>INDEX(V14:V17,MATCH(LARGE(AC14:AC17,4),AC14:AC17,0))</f>
        <v/>
      </c>
      <c r="M17" s="16">
        <f>INDEX(W14:W17,MATCH(LARGE(AC14:AC17,4),AC14:AC17,0))</f>
        <v/>
      </c>
      <c r="N17" s="16">
        <f>INDEX(X14:X17,MATCH(LARGE(AC14:AC17,4),AC14:AC17,0))</f>
        <v/>
      </c>
      <c r="O17" s="16">
        <f>INDEX(Y14:Y17,MATCH(LARGE(AC14:AC17,4),AC14:AC17,0))</f>
        <v/>
      </c>
      <c r="P17" s="16">
        <f>INDEX(Z14:Z17,MATCH(LARGE(AC14:AC17,4),AC14:AC17,0))</f>
        <v/>
      </c>
      <c r="Q17" s="16">
        <f>INDEX(AA14:AA17,MATCH(LARGE(AC14:AC17,4),AC14:AC17,0))</f>
        <v/>
      </c>
      <c r="R17" s="16">
        <f>INDEX(AB14:AB17,MATCH(LARGE(AC14:AC17,4),AC14:AC17,0))</f>
        <v/>
      </c>
      <c r="T17">
        <f>F15</f>
        <v/>
      </c>
      <c r="U17">
        <f>IF(AND(ISNUMBER(D15),ISNUMBER(E15)),1,0)+IF(AND(ISNUMBER(D17),ISNUMBER(E17)),1,0)+IF(AND(ISNUMBER(D18),ISNUMBER(E18)),1,0)</f>
        <v/>
      </c>
      <c r="V17">
        <f>IF(AND(ISNUMBER(D15),ISNUMBER(E15),E15&gt;D15),1,0)+IF(AND(ISNUMBER(D17),ISNUMBER(E17),E17&gt;D17),1,0)+IF(AND(ISNUMBER(D18),ISNUMBER(E18),E18&gt;D18),1,0)</f>
        <v/>
      </c>
      <c r="W17">
        <f>IF(AND(ISNUMBER(D15),ISNUMBER(E15),D15=E15),1,0)+IF(AND(ISNUMBER(D17),ISNUMBER(E17),D17=E17),1,0)+IF(AND(ISNUMBER(D18),ISNUMBER(E18),D18=E18),1,0)</f>
        <v/>
      </c>
      <c r="X17">
        <f>U17-V17-W17</f>
        <v/>
      </c>
      <c r="Y17">
        <f>IF(ISNUMBER(E15),E15,0)+IF(ISNUMBER(E17),E17,0)+IF(ISNUMBER(E18),E18,0)</f>
        <v/>
      </c>
      <c r="Z17">
        <f>IF(ISNUMBER(D15),D15,0)+IF(ISNUMBER(D17),D17,0)+IF(ISNUMBER(D18),D18,0)</f>
        <v/>
      </c>
      <c r="AA17">
        <f>Y17-Z17</f>
        <v/>
      </c>
      <c r="AB17">
        <f>V17*3+W17</f>
        <v/>
      </c>
      <c r="AC17">
        <f>AB17*1000000+(AA17+100)*1000+Y17*10+1</f>
        <v/>
      </c>
    </row>
    <row r="18" ht="16.5" customHeight="1">
      <c r="B18" s="9" t="inlineStr">
        <is>
          <t>Canadá 🇨🇦</t>
        </is>
      </c>
      <c r="C18" s="10" t="inlineStr">
        <is>
          <t>G-B1-B4</t>
        </is>
      </c>
      <c r="D18" s="11" t="n">
        <v>2</v>
      </c>
      <c r="E18" s="11" t="n">
        <v>1</v>
      </c>
      <c r="F18" s="12" t="inlineStr">
        <is>
          <t>🇧🇦 Bosnia y Herzegovina</t>
        </is>
      </c>
      <c r="G18" s="13" t="inlineStr">
        <is>
          <t>Grupo B · J3</t>
        </is>
      </c>
    </row>
    <row r="19" ht="16.5" customHeight="1">
      <c r="B19" s="9" t="inlineStr">
        <is>
          <t>Suiza 🇨🇭</t>
        </is>
      </c>
      <c r="C19" s="10" t="inlineStr">
        <is>
          <t>G-B2-B3</t>
        </is>
      </c>
      <c r="D19" s="11" t="n">
        <v>2</v>
      </c>
      <c r="E19" s="11" t="n">
        <v>0</v>
      </c>
      <c r="F19" s="12" t="inlineStr">
        <is>
          <t>🇶🇦 Catar</t>
        </is>
      </c>
      <c r="G19" s="13" t="inlineStr">
        <is>
          <t>Grupo B · J3</t>
        </is>
      </c>
    </row>
    <row r="20" ht="18" customHeight="1">
      <c r="B20" s="18" t="inlineStr">
        <is>
          <t xml:space="preserve">  Grupo C</t>
        </is>
      </c>
      <c r="I20" s="8" t="inlineStr">
        <is>
          <t>Pos</t>
        </is>
      </c>
      <c r="J20" s="8" t="inlineStr">
        <is>
          <t>Equipo</t>
        </is>
      </c>
      <c r="K20" s="8" t="inlineStr">
        <is>
          <t>PJ</t>
        </is>
      </c>
      <c r="L20" s="8" t="inlineStr">
        <is>
          <t>G</t>
        </is>
      </c>
      <c r="M20" s="8" t="inlineStr">
        <is>
          <t>E</t>
        </is>
      </c>
      <c r="N20" s="8" t="inlineStr">
        <is>
          <t>P</t>
        </is>
      </c>
      <c r="O20" s="8" t="inlineStr">
        <is>
          <t>GF</t>
        </is>
      </c>
      <c r="P20" s="8" t="inlineStr">
        <is>
          <t>GA</t>
        </is>
      </c>
      <c r="Q20" s="8" t="inlineStr">
        <is>
          <t>DG</t>
        </is>
      </c>
      <c r="R20" s="8" t="inlineStr">
        <is>
          <t>Pts</t>
        </is>
      </c>
    </row>
    <row r="21" ht="16.5" customHeight="1">
      <c r="B21" s="9" t="inlineStr">
        <is>
          <t>Brasil 🇧🇷</t>
        </is>
      </c>
      <c r="C21" s="10" t="inlineStr">
        <is>
          <t>G-C1-C2</t>
        </is>
      </c>
      <c r="D21" s="11" t="n">
        <v>1</v>
      </c>
      <c r="E21" s="11" t="n">
        <v>1</v>
      </c>
      <c r="F21" s="12" t="inlineStr">
        <is>
          <t>🇲🇦 Marruecos</t>
        </is>
      </c>
      <c r="G21" s="13" t="inlineStr">
        <is>
          <t>Grupo C · J1</t>
        </is>
      </c>
      <c r="I21" s="14" t="n">
        <v>1</v>
      </c>
      <c r="J21" s="15">
        <f>INDEX(T21:T24,MATCH(LARGE(AC21:AC24,1),AC21:AC24,0))</f>
        <v/>
      </c>
      <c r="K21" s="14">
        <f>INDEX(U21:U24,MATCH(LARGE(AC21:AC24,1),AC21:AC24,0))</f>
        <v/>
      </c>
      <c r="L21" s="14">
        <f>INDEX(V21:V24,MATCH(LARGE(AC21:AC24,1),AC21:AC24,0))</f>
        <v/>
      </c>
      <c r="M21" s="14">
        <f>INDEX(W21:W24,MATCH(LARGE(AC21:AC24,1),AC21:AC24,0))</f>
        <v/>
      </c>
      <c r="N21" s="14">
        <f>INDEX(X21:X24,MATCH(LARGE(AC21:AC24,1),AC21:AC24,0))</f>
        <v/>
      </c>
      <c r="O21" s="14">
        <f>INDEX(Y21:Y24,MATCH(LARGE(AC21:AC24,1),AC21:AC24,0))</f>
        <v/>
      </c>
      <c r="P21" s="14">
        <f>INDEX(Z21:Z24,MATCH(LARGE(AC21:AC24,1),AC21:AC24,0))</f>
        <v/>
      </c>
      <c r="Q21" s="14">
        <f>INDEX(AA21:AA24,MATCH(LARGE(AC21:AC24,1),AC21:AC24,0))</f>
        <v/>
      </c>
      <c r="R21" s="14">
        <f>INDEX(AB21:AB24,MATCH(LARGE(AC21:AC24,1),AC21:AC24,0))</f>
        <v/>
      </c>
      <c r="T21">
        <f>B21</f>
        <v/>
      </c>
      <c r="U21">
        <f>IF(AND(ISNUMBER(D21),ISNUMBER(E21)),1,0)+IF(AND(ISNUMBER(D23),ISNUMBER(E23)),1,0)+IF(AND(ISNUMBER(D25),ISNUMBER(E25)),1,0)</f>
        <v/>
      </c>
      <c r="V21">
        <f>IF(AND(ISNUMBER(D21),ISNUMBER(E21),D21&gt;E21),1,0)+IF(AND(ISNUMBER(D23),ISNUMBER(E23),D23&gt;E23),1,0)+IF(AND(ISNUMBER(D25),ISNUMBER(E25),D25&gt;E25),1,0)</f>
        <v/>
      </c>
      <c r="W21">
        <f>IF(AND(ISNUMBER(D21),ISNUMBER(E21),D21=E21),1,0)+IF(AND(ISNUMBER(D23),ISNUMBER(E23),D23=E23),1,0)+IF(AND(ISNUMBER(D25),ISNUMBER(E25),D25=E25),1,0)</f>
        <v/>
      </c>
      <c r="X21">
        <f>U21-V21-W21</f>
        <v/>
      </c>
      <c r="Y21">
        <f>IF(ISNUMBER(D21),D21,0)+IF(ISNUMBER(D23),D23,0)+IF(ISNUMBER(D25),D25,0)</f>
        <v/>
      </c>
      <c r="Z21">
        <f>IF(ISNUMBER(E21),E21,0)+IF(ISNUMBER(E23),E23,0)+IF(ISNUMBER(E25),E25,0)</f>
        <v/>
      </c>
      <c r="AA21">
        <f>Y21-Z21</f>
        <v/>
      </c>
      <c r="AB21">
        <f>V21*3+W21</f>
        <v/>
      </c>
      <c r="AC21">
        <f>AB21*1000000+(AA21+100)*1000+Y21*10+4</f>
        <v/>
      </c>
    </row>
    <row r="22" ht="16.5" customHeight="1">
      <c r="B22" s="9" t="inlineStr">
        <is>
          <t>Escocia 🏴󠁧󠁢󠁳󠁣󠁴󠁿</t>
        </is>
      </c>
      <c r="C22" s="10" t="inlineStr">
        <is>
          <t>G-C3-C4</t>
        </is>
      </c>
      <c r="D22" s="11" t="n">
        <v>2</v>
      </c>
      <c r="E22" s="11" t="n">
        <v>0</v>
      </c>
      <c r="F22" s="12" t="inlineStr">
        <is>
          <t>🇭🇹 Haití</t>
        </is>
      </c>
      <c r="G22" s="13" t="inlineStr">
        <is>
          <t>Grupo C · J1</t>
        </is>
      </c>
      <c r="I22" s="14" t="n">
        <v>2</v>
      </c>
      <c r="J22" s="15">
        <f>INDEX(T21:T24,MATCH(LARGE(AC21:AC24,2),AC21:AC24,0))</f>
        <v/>
      </c>
      <c r="K22" s="14">
        <f>INDEX(U21:U24,MATCH(LARGE(AC21:AC24,2),AC21:AC24,0))</f>
        <v/>
      </c>
      <c r="L22" s="14">
        <f>INDEX(V21:V24,MATCH(LARGE(AC21:AC24,2),AC21:AC24,0))</f>
        <v/>
      </c>
      <c r="M22" s="14">
        <f>INDEX(W21:W24,MATCH(LARGE(AC21:AC24,2),AC21:AC24,0))</f>
        <v/>
      </c>
      <c r="N22" s="14">
        <f>INDEX(X21:X24,MATCH(LARGE(AC21:AC24,2),AC21:AC24,0))</f>
        <v/>
      </c>
      <c r="O22" s="14">
        <f>INDEX(Y21:Y24,MATCH(LARGE(AC21:AC24,2),AC21:AC24,0))</f>
        <v/>
      </c>
      <c r="P22" s="14">
        <f>INDEX(Z21:Z24,MATCH(LARGE(AC21:AC24,2),AC21:AC24,0))</f>
        <v/>
      </c>
      <c r="Q22" s="14">
        <f>INDEX(AA21:AA24,MATCH(LARGE(AC21:AC24,2),AC21:AC24,0))</f>
        <v/>
      </c>
      <c r="R22" s="14">
        <f>INDEX(AB21:AB24,MATCH(LARGE(AC21:AC24,2),AC21:AC24,0))</f>
        <v/>
      </c>
      <c r="T22">
        <f>F21</f>
        <v/>
      </c>
      <c r="U22">
        <f>IF(AND(ISNUMBER(D24),ISNUMBER(E24)),1,0)+IF(AND(ISNUMBER(D26),ISNUMBER(E26)),1,0)+IF(AND(ISNUMBER(D21),ISNUMBER(E21)),1,0)</f>
        <v/>
      </c>
      <c r="V22">
        <f>IF(AND(ISNUMBER(D24),ISNUMBER(E24),D24&gt;E24),1,0)+IF(AND(ISNUMBER(D26),ISNUMBER(E26),D26&gt;E26),1,0)+IF(AND(ISNUMBER(D21),ISNUMBER(E21),E21&gt;D21),1,0)</f>
        <v/>
      </c>
      <c r="W22">
        <f>IF(AND(ISNUMBER(D24),ISNUMBER(E24),D24=E24),1,0)+IF(AND(ISNUMBER(D26),ISNUMBER(E26),D26=E26),1,0)+IF(AND(ISNUMBER(D21),ISNUMBER(E21),D21=E21),1,0)</f>
        <v/>
      </c>
      <c r="X22">
        <f>U22-V22-W22</f>
        <v/>
      </c>
      <c r="Y22">
        <f>IF(ISNUMBER(D24),D24,0)+IF(ISNUMBER(D26),D26,0)+IF(ISNUMBER(E21),E21,0)</f>
        <v/>
      </c>
      <c r="Z22">
        <f>IF(ISNUMBER(E24),E24,0)+IF(ISNUMBER(E26),E26,0)+IF(ISNUMBER(D21),D21,0)</f>
        <v/>
      </c>
      <c r="AA22">
        <f>Y22-Z22</f>
        <v/>
      </c>
      <c r="AB22">
        <f>V22*3+W22</f>
        <v/>
      </c>
      <c r="AC22">
        <f>AB22*1000000+(AA22+100)*1000+Y22*10+3</f>
        <v/>
      </c>
    </row>
    <row r="23" ht="16.5" customHeight="1">
      <c r="B23" s="9" t="inlineStr">
        <is>
          <t>Brasil 🇧🇷</t>
        </is>
      </c>
      <c r="C23" s="10" t="inlineStr">
        <is>
          <t>G-C1-C3</t>
        </is>
      </c>
      <c r="D23" s="11" t="n">
        <v>2</v>
      </c>
      <c r="E23" s="11" t="n">
        <v>1</v>
      </c>
      <c r="F23" s="12" t="inlineStr">
        <is>
          <t>🏴󠁧󠁢󠁳󠁣󠁴󠁿 Escocia</t>
        </is>
      </c>
      <c r="G23" s="13" t="inlineStr">
        <is>
          <t>Grupo C · J2</t>
        </is>
      </c>
      <c r="I23" s="16" t="n">
        <v>3</v>
      </c>
      <c r="J23" s="17">
        <f>INDEX(T21:T24,MATCH(LARGE(AC21:AC24,3),AC21:AC24,0))</f>
        <v/>
      </c>
      <c r="K23" s="16">
        <f>INDEX(U21:U24,MATCH(LARGE(AC21:AC24,3),AC21:AC24,0))</f>
        <v/>
      </c>
      <c r="L23" s="16">
        <f>INDEX(V21:V24,MATCH(LARGE(AC21:AC24,3),AC21:AC24,0))</f>
        <v/>
      </c>
      <c r="M23" s="16">
        <f>INDEX(W21:W24,MATCH(LARGE(AC21:AC24,3),AC21:AC24,0))</f>
        <v/>
      </c>
      <c r="N23" s="16">
        <f>INDEX(X21:X24,MATCH(LARGE(AC21:AC24,3),AC21:AC24,0))</f>
        <v/>
      </c>
      <c r="O23" s="16">
        <f>INDEX(Y21:Y24,MATCH(LARGE(AC21:AC24,3),AC21:AC24,0))</f>
        <v/>
      </c>
      <c r="P23" s="16">
        <f>INDEX(Z21:Z24,MATCH(LARGE(AC21:AC24,3),AC21:AC24,0))</f>
        <v/>
      </c>
      <c r="Q23" s="16">
        <f>INDEX(AA21:AA24,MATCH(LARGE(AC21:AC24,3),AC21:AC24,0))</f>
        <v/>
      </c>
      <c r="R23" s="16">
        <f>INDEX(AB21:AB24,MATCH(LARGE(AC21:AC24,3),AC21:AC24,0))</f>
        <v/>
      </c>
      <c r="T23">
        <f>B22</f>
        <v/>
      </c>
      <c r="U23">
        <f>IF(AND(ISNUMBER(D22),ISNUMBER(E22)),1,0)+IF(AND(ISNUMBER(D23),ISNUMBER(E23)),1,0)+IF(AND(ISNUMBER(D26),ISNUMBER(E26)),1,0)</f>
        <v/>
      </c>
      <c r="V23">
        <f>IF(AND(ISNUMBER(D22),ISNUMBER(E22),D22&gt;E22),1,0)+IF(AND(ISNUMBER(D23),ISNUMBER(E23),E23&gt;D23),1,0)+IF(AND(ISNUMBER(D26),ISNUMBER(E26),E26&gt;D26),1,0)</f>
        <v/>
      </c>
      <c r="W23">
        <f>IF(AND(ISNUMBER(D22),ISNUMBER(E22),D22=E22),1,0)+IF(AND(ISNUMBER(D23),ISNUMBER(E23),D23=E23),1,0)+IF(AND(ISNUMBER(D26),ISNUMBER(E26),D26=E26),1,0)</f>
        <v/>
      </c>
      <c r="X23">
        <f>U23-V23-W23</f>
        <v/>
      </c>
      <c r="Y23">
        <f>IF(ISNUMBER(D22),D22,0)+IF(ISNUMBER(E23),E23,0)+IF(ISNUMBER(E26),E26,0)</f>
        <v/>
      </c>
      <c r="Z23">
        <f>IF(ISNUMBER(E22),E22,0)+IF(ISNUMBER(D23),D23,0)+IF(ISNUMBER(D26),D26,0)</f>
        <v/>
      </c>
      <c r="AA23">
        <f>Y23-Z23</f>
        <v/>
      </c>
      <c r="AB23">
        <f>V23*3+W23</f>
        <v/>
      </c>
      <c r="AC23">
        <f>AB23*1000000+(AA23+100)*1000+Y23*10+2</f>
        <v/>
      </c>
    </row>
    <row r="24" ht="16.5" customHeight="1">
      <c r="B24" s="9" t="inlineStr">
        <is>
          <t>Marruecos 🇲🇦</t>
        </is>
      </c>
      <c r="C24" s="10" t="inlineStr">
        <is>
          <t>G-C2-C4</t>
        </is>
      </c>
      <c r="D24" s="11" t="n">
        <v>2</v>
      </c>
      <c r="E24" s="11" t="n">
        <v>0</v>
      </c>
      <c r="F24" s="12" t="inlineStr">
        <is>
          <t>🇭🇹 Haití</t>
        </is>
      </c>
      <c r="G24" s="13" t="inlineStr">
        <is>
          <t>Grupo C · J2</t>
        </is>
      </c>
      <c r="I24" s="16" t="n">
        <v>4</v>
      </c>
      <c r="J24" s="17">
        <f>INDEX(T21:T24,MATCH(LARGE(AC21:AC24,4),AC21:AC24,0))</f>
        <v/>
      </c>
      <c r="K24" s="16">
        <f>INDEX(U21:U24,MATCH(LARGE(AC21:AC24,4),AC21:AC24,0))</f>
        <v/>
      </c>
      <c r="L24" s="16">
        <f>INDEX(V21:V24,MATCH(LARGE(AC21:AC24,4),AC21:AC24,0))</f>
        <v/>
      </c>
      <c r="M24" s="16">
        <f>INDEX(W21:W24,MATCH(LARGE(AC21:AC24,4),AC21:AC24,0))</f>
        <v/>
      </c>
      <c r="N24" s="16">
        <f>INDEX(X21:X24,MATCH(LARGE(AC21:AC24,4),AC21:AC24,0))</f>
        <v/>
      </c>
      <c r="O24" s="16">
        <f>INDEX(Y21:Y24,MATCH(LARGE(AC21:AC24,4),AC21:AC24,0))</f>
        <v/>
      </c>
      <c r="P24" s="16">
        <f>INDEX(Z21:Z24,MATCH(LARGE(AC21:AC24,4),AC21:AC24,0))</f>
        <v/>
      </c>
      <c r="Q24" s="16">
        <f>INDEX(AA21:AA24,MATCH(LARGE(AC21:AC24,4),AC21:AC24,0))</f>
        <v/>
      </c>
      <c r="R24" s="16">
        <f>INDEX(AB21:AB24,MATCH(LARGE(AC21:AC24,4),AC21:AC24,0))</f>
        <v/>
      </c>
      <c r="T24">
        <f>F22</f>
        <v/>
      </c>
      <c r="U24">
        <f>IF(AND(ISNUMBER(D22),ISNUMBER(E22)),1,0)+IF(AND(ISNUMBER(D24),ISNUMBER(E24)),1,0)+IF(AND(ISNUMBER(D25),ISNUMBER(E25)),1,0)</f>
        <v/>
      </c>
      <c r="V24">
        <f>IF(AND(ISNUMBER(D22),ISNUMBER(E22),E22&gt;D22),1,0)+IF(AND(ISNUMBER(D24),ISNUMBER(E24),E24&gt;D24),1,0)+IF(AND(ISNUMBER(D25),ISNUMBER(E25),E25&gt;D25),1,0)</f>
        <v/>
      </c>
      <c r="W24">
        <f>IF(AND(ISNUMBER(D22),ISNUMBER(E22),D22=E22),1,0)+IF(AND(ISNUMBER(D24),ISNUMBER(E24),D24=E24),1,0)+IF(AND(ISNUMBER(D25),ISNUMBER(E25),D25=E25),1,0)</f>
        <v/>
      </c>
      <c r="X24">
        <f>U24-V24-W24</f>
        <v/>
      </c>
      <c r="Y24">
        <f>IF(ISNUMBER(E22),E22,0)+IF(ISNUMBER(E24),E24,0)+IF(ISNUMBER(E25),E25,0)</f>
        <v/>
      </c>
      <c r="Z24">
        <f>IF(ISNUMBER(D22),D22,0)+IF(ISNUMBER(D24),D24,0)+IF(ISNUMBER(D25),D25,0)</f>
        <v/>
      </c>
      <c r="AA24">
        <f>Y24-Z24</f>
        <v/>
      </c>
      <c r="AB24">
        <f>V24*3+W24</f>
        <v/>
      </c>
      <c r="AC24">
        <f>AB24*1000000+(AA24+100)*1000+Y24*10+1</f>
        <v/>
      </c>
    </row>
    <row r="25" ht="16.5" customHeight="1">
      <c r="B25" s="9" t="inlineStr">
        <is>
          <t>Brasil 🇧🇷</t>
        </is>
      </c>
      <c r="C25" s="10" t="inlineStr">
        <is>
          <t>G-C1-C4</t>
        </is>
      </c>
      <c r="D25" s="11" t="n">
        <v>4</v>
      </c>
      <c r="E25" s="11" t="n">
        <v>0</v>
      </c>
      <c r="F25" s="12" t="inlineStr">
        <is>
          <t>🇭🇹 Haití</t>
        </is>
      </c>
      <c r="G25" s="13" t="inlineStr">
        <is>
          <t>Grupo C · J3</t>
        </is>
      </c>
    </row>
    <row r="26" ht="16.5" customHeight="1">
      <c r="B26" s="9" t="inlineStr">
        <is>
          <t>Marruecos 🇲🇦</t>
        </is>
      </c>
      <c r="C26" s="10" t="inlineStr">
        <is>
          <t>G-C2-C3</t>
        </is>
      </c>
      <c r="D26" s="11" t="n">
        <v>0</v>
      </c>
      <c r="E26" s="11" t="n">
        <v>0</v>
      </c>
      <c r="F26" s="12" t="inlineStr">
        <is>
          <t>🏴󠁧󠁢󠁳󠁣󠁴󠁿 Escocia</t>
        </is>
      </c>
      <c r="G26" s="13" t="inlineStr">
        <is>
          <t>Grupo C · J3</t>
        </is>
      </c>
    </row>
    <row r="27" ht="18" customHeight="1">
      <c r="B27" s="18" t="inlineStr">
        <is>
          <t xml:space="preserve">  Grupo D</t>
        </is>
      </c>
      <c r="I27" s="8" t="inlineStr">
        <is>
          <t>Pos</t>
        </is>
      </c>
      <c r="J27" s="8" t="inlineStr">
        <is>
          <t>Equipo</t>
        </is>
      </c>
      <c r="K27" s="8" t="inlineStr">
        <is>
          <t>PJ</t>
        </is>
      </c>
      <c r="L27" s="8" t="inlineStr">
        <is>
          <t>G</t>
        </is>
      </c>
      <c r="M27" s="8" t="inlineStr">
        <is>
          <t>E</t>
        </is>
      </c>
      <c r="N27" s="8" t="inlineStr">
        <is>
          <t>P</t>
        </is>
      </c>
      <c r="O27" s="8" t="inlineStr">
        <is>
          <t>GF</t>
        </is>
      </c>
      <c r="P27" s="8" t="inlineStr">
        <is>
          <t>GA</t>
        </is>
      </c>
      <c r="Q27" s="8" t="inlineStr">
        <is>
          <t>DG</t>
        </is>
      </c>
      <c r="R27" s="8" t="inlineStr">
        <is>
          <t>Pts</t>
        </is>
      </c>
    </row>
    <row r="28" ht="16.5" customHeight="1">
      <c r="B28" s="9" t="inlineStr">
        <is>
          <t>Estados Unidos 🇺🇸</t>
        </is>
      </c>
      <c r="C28" s="10" t="inlineStr">
        <is>
          <t>G-D1-D2</t>
        </is>
      </c>
      <c r="D28" s="11" t="n">
        <v>1</v>
      </c>
      <c r="E28" s="11" t="n">
        <v>1</v>
      </c>
      <c r="F28" s="12" t="inlineStr">
        <is>
          <t>🇵🇾 Paraguay</t>
        </is>
      </c>
      <c r="G28" s="13" t="inlineStr">
        <is>
          <t>Grupo D · J1</t>
        </is>
      </c>
      <c r="I28" s="14" t="n">
        <v>1</v>
      </c>
      <c r="J28" s="15">
        <f>INDEX(T28:T31,MATCH(LARGE(AC28:AC31,1),AC28:AC31,0))</f>
        <v/>
      </c>
      <c r="K28" s="14">
        <f>INDEX(U28:U31,MATCH(LARGE(AC28:AC31,1),AC28:AC31,0))</f>
        <v/>
      </c>
      <c r="L28" s="14">
        <f>INDEX(V28:V31,MATCH(LARGE(AC28:AC31,1),AC28:AC31,0))</f>
        <v/>
      </c>
      <c r="M28" s="14">
        <f>INDEX(W28:W31,MATCH(LARGE(AC28:AC31,1),AC28:AC31,0))</f>
        <v/>
      </c>
      <c r="N28" s="14">
        <f>INDEX(X28:X31,MATCH(LARGE(AC28:AC31,1),AC28:AC31,0))</f>
        <v/>
      </c>
      <c r="O28" s="14">
        <f>INDEX(Y28:Y31,MATCH(LARGE(AC28:AC31,1),AC28:AC31,0))</f>
        <v/>
      </c>
      <c r="P28" s="14">
        <f>INDEX(Z28:Z31,MATCH(LARGE(AC28:AC31,1),AC28:AC31,0))</f>
        <v/>
      </c>
      <c r="Q28" s="14">
        <f>INDEX(AA28:AA31,MATCH(LARGE(AC28:AC31,1),AC28:AC31,0))</f>
        <v/>
      </c>
      <c r="R28" s="14">
        <f>INDEX(AB28:AB31,MATCH(LARGE(AC28:AC31,1),AC28:AC31,0))</f>
        <v/>
      </c>
      <c r="T28">
        <f>B28</f>
        <v/>
      </c>
      <c r="U28">
        <f>IF(AND(ISNUMBER(D28),ISNUMBER(E28)),1,0)+IF(AND(ISNUMBER(D30),ISNUMBER(E30)),1,0)+IF(AND(ISNUMBER(D32),ISNUMBER(E32)),1,0)</f>
        <v/>
      </c>
      <c r="V28">
        <f>IF(AND(ISNUMBER(D28),ISNUMBER(E28),D28&gt;E28),1,0)+IF(AND(ISNUMBER(D30),ISNUMBER(E30),D30&gt;E30),1,0)+IF(AND(ISNUMBER(D32),ISNUMBER(E32),D32&gt;E32),1,0)</f>
        <v/>
      </c>
      <c r="W28">
        <f>IF(AND(ISNUMBER(D28),ISNUMBER(E28),D28=E28),1,0)+IF(AND(ISNUMBER(D30),ISNUMBER(E30),D30=E30),1,0)+IF(AND(ISNUMBER(D32),ISNUMBER(E32),D32=E32),1,0)</f>
        <v/>
      </c>
      <c r="X28">
        <f>U28-V28-W28</f>
        <v/>
      </c>
      <c r="Y28">
        <f>IF(ISNUMBER(D28),D28,0)+IF(ISNUMBER(D30),D30,0)+IF(ISNUMBER(D32),D32,0)</f>
        <v/>
      </c>
      <c r="Z28">
        <f>IF(ISNUMBER(E28),E28,0)+IF(ISNUMBER(E30),E30,0)+IF(ISNUMBER(E32),E32,0)</f>
        <v/>
      </c>
      <c r="AA28">
        <f>Y28-Z28</f>
        <v/>
      </c>
      <c r="AB28">
        <f>V28*3+W28</f>
        <v/>
      </c>
      <c r="AC28">
        <f>AB28*1000000+(AA28+100)*1000+Y28*10+4</f>
        <v/>
      </c>
    </row>
    <row r="29" ht="16.5" customHeight="1">
      <c r="B29" s="9" t="inlineStr">
        <is>
          <t>Australia 🇦🇺</t>
        </is>
      </c>
      <c r="C29" s="10" t="inlineStr">
        <is>
          <t>G-D3-D4</t>
        </is>
      </c>
      <c r="D29" s="11" t="n">
        <v>1</v>
      </c>
      <c r="E29" s="11" t="n">
        <v>1</v>
      </c>
      <c r="F29" s="12" t="inlineStr">
        <is>
          <t>🇹🇷 Turquía</t>
        </is>
      </c>
      <c r="G29" s="13" t="inlineStr">
        <is>
          <t>Grupo D · J1</t>
        </is>
      </c>
      <c r="I29" s="14" t="n">
        <v>2</v>
      </c>
      <c r="J29" s="15">
        <f>INDEX(T28:T31,MATCH(LARGE(AC28:AC31,2),AC28:AC31,0))</f>
        <v/>
      </c>
      <c r="K29" s="14">
        <f>INDEX(U28:U31,MATCH(LARGE(AC28:AC31,2),AC28:AC31,0))</f>
        <v/>
      </c>
      <c r="L29" s="14">
        <f>INDEX(V28:V31,MATCH(LARGE(AC28:AC31,2),AC28:AC31,0))</f>
        <v/>
      </c>
      <c r="M29" s="14">
        <f>INDEX(W28:W31,MATCH(LARGE(AC28:AC31,2),AC28:AC31,0))</f>
        <v/>
      </c>
      <c r="N29" s="14">
        <f>INDEX(X28:X31,MATCH(LARGE(AC28:AC31,2),AC28:AC31,0))</f>
        <v/>
      </c>
      <c r="O29" s="14">
        <f>INDEX(Y28:Y31,MATCH(LARGE(AC28:AC31,2),AC28:AC31,0))</f>
        <v/>
      </c>
      <c r="P29" s="14">
        <f>INDEX(Z28:Z31,MATCH(LARGE(AC28:AC31,2),AC28:AC31,0))</f>
        <v/>
      </c>
      <c r="Q29" s="14">
        <f>INDEX(AA28:AA31,MATCH(LARGE(AC28:AC31,2),AC28:AC31,0))</f>
        <v/>
      </c>
      <c r="R29" s="14">
        <f>INDEX(AB28:AB31,MATCH(LARGE(AC28:AC31,2),AC28:AC31,0))</f>
        <v/>
      </c>
      <c r="T29">
        <f>F28</f>
        <v/>
      </c>
      <c r="U29">
        <f>IF(AND(ISNUMBER(D31),ISNUMBER(E31)),1,0)+IF(AND(ISNUMBER(D33),ISNUMBER(E33)),1,0)+IF(AND(ISNUMBER(D28),ISNUMBER(E28)),1,0)</f>
        <v/>
      </c>
      <c r="V29">
        <f>IF(AND(ISNUMBER(D31),ISNUMBER(E31),D31&gt;E31),1,0)+IF(AND(ISNUMBER(D33),ISNUMBER(E33),D33&gt;E33),1,0)+IF(AND(ISNUMBER(D28),ISNUMBER(E28),E28&gt;D28),1,0)</f>
        <v/>
      </c>
      <c r="W29">
        <f>IF(AND(ISNUMBER(D31),ISNUMBER(E31),D31=E31),1,0)+IF(AND(ISNUMBER(D33),ISNUMBER(E33),D33=E33),1,0)+IF(AND(ISNUMBER(D28),ISNUMBER(E28),D28=E28),1,0)</f>
        <v/>
      </c>
      <c r="X29">
        <f>U29-V29-W29</f>
        <v/>
      </c>
      <c r="Y29">
        <f>IF(ISNUMBER(D31),D31,0)+IF(ISNUMBER(D33),D33,0)+IF(ISNUMBER(E28),E28,0)</f>
        <v/>
      </c>
      <c r="Z29">
        <f>IF(ISNUMBER(E31),E31,0)+IF(ISNUMBER(E33),E33,0)+IF(ISNUMBER(D28),D28,0)</f>
        <v/>
      </c>
      <c r="AA29">
        <f>Y29-Z29</f>
        <v/>
      </c>
      <c r="AB29">
        <f>V29*3+W29</f>
        <v/>
      </c>
      <c r="AC29">
        <f>AB29*1000000+(AA29+100)*1000+Y29*10+3</f>
        <v/>
      </c>
    </row>
    <row r="30" ht="16.5" customHeight="1">
      <c r="B30" s="9" t="inlineStr">
        <is>
          <t>Estados Unidos 🇺🇸</t>
        </is>
      </c>
      <c r="C30" s="10" t="inlineStr">
        <is>
          <t>G-D1-D3</t>
        </is>
      </c>
      <c r="D30" s="11" t="n">
        <v>2</v>
      </c>
      <c r="E30" s="11" t="n">
        <v>0</v>
      </c>
      <c r="F30" s="12" t="inlineStr">
        <is>
          <t>🇦🇺 Australia</t>
        </is>
      </c>
      <c r="G30" s="13" t="inlineStr">
        <is>
          <t>Grupo D · J2</t>
        </is>
      </c>
      <c r="I30" s="16" t="n">
        <v>3</v>
      </c>
      <c r="J30" s="17">
        <f>INDEX(T28:T31,MATCH(LARGE(AC28:AC31,3),AC28:AC31,0))</f>
        <v/>
      </c>
      <c r="K30" s="16">
        <f>INDEX(U28:U31,MATCH(LARGE(AC28:AC31,3),AC28:AC31,0))</f>
        <v/>
      </c>
      <c r="L30" s="16">
        <f>INDEX(V28:V31,MATCH(LARGE(AC28:AC31,3),AC28:AC31,0))</f>
        <v/>
      </c>
      <c r="M30" s="16">
        <f>INDEX(W28:W31,MATCH(LARGE(AC28:AC31,3),AC28:AC31,0))</f>
        <v/>
      </c>
      <c r="N30" s="16">
        <f>INDEX(X28:X31,MATCH(LARGE(AC28:AC31,3),AC28:AC31,0))</f>
        <v/>
      </c>
      <c r="O30" s="16">
        <f>INDEX(Y28:Y31,MATCH(LARGE(AC28:AC31,3),AC28:AC31,0))</f>
        <v/>
      </c>
      <c r="P30" s="16">
        <f>INDEX(Z28:Z31,MATCH(LARGE(AC28:AC31,3),AC28:AC31,0))</f>
        <v/>
      </c>
      <c r="Q30" s="16">
        <f>INDEX(AA28:AA31,MATCH(LARGE(AC28:AC31,3),AC28:AC31,0))</f>
        <v/>
      </c>
      <c r="R30" s="16">
        <f>INDEX(AB28:AB31,MATCH(LARGE(AC28:AC31,3),AC28:AC31,0))</f>
        <v/>
      </c>
      <c r="T30">
        <f>B29</f>
        <v/>
      </c>
      <c r="U30">
        <f>IF(AND(ISNUMBER(D29),ISNUMBER(E29)),1,0)+IF(AND(ISNUMBER(D30),ISNUMBER(E30)),1,0)+IF(AND(ISNUMBER(D33),ISNUMBER(E33)),1,0)</f>
        <v/>
      </c>
      <c r="V30">
        <f>IF(AND(ISNUMBER(D29),ISNUMBER(E29),D29&gt;E29),1,0)+IF(AND(ISNUMBER(D30),ISNUMBER(E30),E30&gt;D30),1,0)+IF(AND(ISNUMBER(D33),ISNUMBER(E33),E33&gt;D33),1,0)</f>
        <v/>
      </c>
      <c r="W30">
        <f>IF(AND(ISNUMBER(D29),ISNUMBER(E29),D29=E29),1,0)+IF(AND(ISNUMBER(D30),ISNUMBER(E30),D30=E30),1,0)+IF(AND(ISNUMBER(D33),ISNUMBER(E33),D33=E33),1,0)</f>
        <v/>
      </c>
      <c r="X30">
        <f>U30-V30-W30</f>
        <v/>
      </c>
      <c r="Y30">
        <f>IF(ISNUMBER(D29),D29,0)+IF(ISNUMBER(E30),E30,0)+IF(ISNUMBER(E33),E33,0)</f>
        <v/>
      </c>
      <c r="Z30">
        <f>IF(ISNUMBER(E29),E29,0)+IF(ISNUMBER(D30),D30,0)+IF(ISNUMBER(D33),D33,0)</f>
        <v/>
      </c>
      <c r="AA30">
        <f>Y30-Z30</f>
        <v/>
      </c>
      <c r="AB30">
        <f>V30*3+W30</f>
        <v/>
      </c>
      <c r="AC30">
        <f>AB30*1000000+(AA30+100)*1000+Y30*10+2</f>
        <v/>
      </c>
    </row>
    <row r="31" ht="16.5" customHeight="1">
      <c r="B31" s="9" t="inlineStr">
        <is>
          <t>Paraguay 🇵🇾</t>
        </is>
      </c>
      <c r="C31" s="10" t="inlineStr">
        <is>
          <t>G-D2-D4</t>
        </is>
      </c>
      <c r="D31" s="11" t="n">
        <v>1</v>
      </c>
      <c r="E31" s="11" t="n">
        <v>2</v>
      </c>
      <c r="F31" s="12" t="inlineStr">
        <is>
          <t>🇹🇷 Turquía</t>
        </is>
      </c>
      <c r="G31" s="13" t="inlineStr">
        <is>
          <t>Grupo D · J2</t>
        </is>
      </c>
      <c r="I31" s="16" t="n">
        <v>4</v>
      </c>
      <c r="J31" s="17">
        <f>INDEX(T28:T31,MATCH(LARGE(AC28:AC31,4),AC28:AC31,0))</f>
        <v/>
      </c>
      <c r="K31" s="16">
        <f>INDEX(U28:U31,MATCH(LARGE(AC28:AC31,4),AC28:AC31,0))</f>
        <v/>
      </c>
      <c r="L31" s="16">
        <f>INDEX(V28:V31,MATCH(LARGE(AC28:AC31,4),AC28:AC31,0))</f>
        <v/>
      </c>
      <c r="M31" s="16">
        <f>INDEX(W28:W31,MATCH(LARGE(AC28:AC31,4),AC28:AC31,0))</f>
        <v/>
      </c>
      <c r="N31" s="16">
        <f>INDEX(X28:X31,MATCH(LARGE(AC28:AC31,4),AC28:AC31,0))</f>
        <v/>
      </c>
      <c r="O31" s="16">
        <f>INDEX(Y28:Y31,MATCH(LARGE(AC28:AC31,4),AC28:AC31,0))</f>
        <v/>
      </c>
      <c r="P31" s="16">
        <f>INDEX(Z28:Z31,MATCH(LARGE(AC28:AC31,4),AC28:AC31,0))</f>
        <v/>
      </c>
      <c r="Q31" s="16">
        <f>INDEX(AA28:AA31,MATCH(LARGE(AC28:AC31,4),AC28:AC31,0))</f>
        <v/>
      </c>
      <c r="R31" s="16">
        <f>INDEX(AB28:AB31,MATCH(LARGE(AC28:AC31,4),AC28:AC31,0))</f>
        <v/>
      </c>
      <c r="T31">
        <f>F29</f>
        <v/>
      </c>
      <c r="U31">
        <f>IF(AND(ISNUMBER(D29),ISNUMBER(E29)),1,0)+IF(AND(ISNUMBER(D31),ISNUMBER(E31)),1,0)+IF(AND(ISNUMBER(D32),ISNUMBER(E32)),1,0)</f>
        <v/>
      </c>
      <c r="V31">
        <f>IF(AND(ISNUMBER(D29),ISNUMBER(E29),E29&gt;D29),1,0)+IF(AND(ISNUMBER(D31),ISNUMBER(E31),E31&gt;D31),1,0)+IF(AND(ISNUMBER(D32),ISNUMBER(E32),E32&gt;D32),1,0)</f>
        <v/>
      </c>
      <c r="W31">
        <f>IF(AND(ISNUMBER(D29),ISNUMBER(E29),D29=E29),1,0)+IF(AND(ISNUMBER(D31),ISNUMBER(E31),D31=E31),1,0)+IF(AND(ISNUMBER(D32),ISNUMBER(E32),D32=E32),1,0)</f>
        <v/>
      </c>
      <c r="X31">
        <f>U31-V31-W31</f>
        <v/>
      </c>
      <c r="Y31">
        <f>IF(ISNUMBER(E29),E29,0)+IF(ISNUMBER(E31),E31,0)+IF(ISNUMBER(E32),E32,0)</f>
        <v/>
      </c>
      <c r="Z31">
        <f>IF(ISNUMBER(D29),D29,0)+IF(ISNUMBER(D31),D31,0)+IF(ISNUMBER(D32),D32,0)</f>
        <v/>
      </c>
      <c r="AA31">
        <f>Y31-Z31</f>
        <v/>
      </c>
      <c r="AB31">
        <f>V31*3+W31</f>
        <v/>
      </c>
      <c r="AC31">
        <f>AB31*1000000+(AA31+100)*1000+Y31*10+1</f>
        <v/>
      </c>
    </row>
    <row r="32" ht="16.5" customHeight="1">
      <c r="B32" s="9" t="inlineStr">
        <is>
          <t>Estados Unidos 🇺🇸</t>
        </is>
      </c>
      <c r="C32" s="10" t="inlineStr">
        <is>
          <t>G-D1-D4</t>
        </is>
      </c>
      <c r="D32" s="11" t="n">
        <v>1</v>
      </c>
      <c r="E32" s="11" t="n">
        <v>2</v>
      </c>
      <c r="F32" s="12" t="inlineStr">
        <is>
          <t>🇹🇷 Turquía</t>
        </is>
      </c>
      <c r="G32" s="13" t="inlineStr">
        <is>
          <t>Grupo D · J3</t>
        </is>
      </c>
    </row>
    <row r="33" ht="16.5" customHeight="1">
      <c r="B33" s="9" t="inlineStr">
        <is>
          <t>Paraguay 🇵🇾</t>
        </is>
      </c>
      <c r="C33" s="10" t="inlineStr">
        <is>
          <t>G-D2-D3</t>
        </is>
      </c>
      <c r="D33" s="11" t="n">
        <v>1</v>
      </c>
      <c r="E33" s="11" t="n">
        <v>1</v>
      </c>
      <c r="F33" s="12" t="inlineStr">
        <is>
          <t>🇦🇺 Australia</t>
        </is>
      </c>
      <c r="G33" s="13" t="inlineStr">
        <is>
          <t>Grupo D · J3</t>
        </is>
      </c>
    </row>
    <row r="34" ht="18" customHeight="1">
      <c r="B34" s="18" t="inlineStr">
        <is>
          <t xml:space="preserve">  Grupo E</t>
        </is>
      </c>
      <c r="I34" s="8" t="inlineStr">
        <is>
          <t>Pos</t>
        </is>
      </c>
      <c r="J34" s="8" t="inlineStr">
        <is>
          <t>Equipo</t>
        </is>
      </c>
      <c r="K34" s="8" t="inlineStr">
        <is>
          <t>PJ</t>
        </is>
      </c>
      <c r="L34" s="8" t="inlineStr">
        <is>
          <t>G</t>
        </is>
      </c>
      <c r="M34" s="8" t="inlineStr">
        <is>
          <t>E</t>
        </is>
      </c>
      <c r="N34" s="8" t="inlineStr">
        <is>
          <t>P</t>
        </is>
      </c>
      <c r="O34" s="8" t="inlineStr">
        <is>
          <t>GF</t>
        </is>
      </c>
      <c r="P34" s="8" t="inlineStr">
        <is>
          <t>GA</t>
        </is>
      </c>
      <c r="Q34" s="8" t="inlineStr">
        <is>
          <t>DG</t>
        </is>
      </c>
      <c r="R34" s="8" t="inlineStr">
        <is>
          <t>Pts</t>
        </is>
      </c>
    </row>
    <row r="35" ht="16.5" customHeight="1">
      <c r="B35" s="9" t="inlineStr">
        <is>
          <t>Alemania 🇩🇪</t>
        </is>
      </c>
      <c r="C35" s="10" t="inlineStr">
        <is>
          <t>G-E1-E2</t>
        </is>
      </c>
      <c r="D35" s="11" t="n">
        <v>4</v>
      </c>
      <c r="E35" s="11" t="n">
        <v>0</v>
      </c>
      <c r="F35" s="12" t="inlineStr">
        <is>
          <t>🇨🇼 Curazao</t>
        </is>
      </c>
      <c r="G35" s="13" t="inlineStr">
        <is>
          <t>Grupo E · J1</t>
        </is>
      </c>
      <c r="I35" s="14" t="n">
        <v>1</v>
      </c>
      <c r="J35" s="15">
        <f>INDEX(T35:T38,MATCH(LARGE(AC35:AC38,1),AC35:AC38,0))</f>
        <v/>
      </c>
      <c r="K35" s="14">
        <f>INDEX(U35:U38,MATCH(LARGE(AC35:AC38,1),AC35:AC38,0))</f>
        <v/>
      </c>
      <c r="L35" s="14">
        <f>INDEX(V35:V38,MATCH(LARGE(AC35:AC38,1),AC35:AC38,0))</f>
        <v/>
      </c>
      <c r="M35" s="14">
        <f>INDEX(W35:W38,MATCH(LARGE(AC35:AC38,1),AC35:AC38,0))</f>
        <v/>
      </c>
      <c r="N35" s="14">
        <f>INDEX(X35:X38,MATCH(LARGE(AC35:AC38,1),AC35:AC38,0))</f>
        <v/>
      </c>
      <c r="O35" s="14">
        <f>INDEX(Y35:Y38,MATCH(LARGE(AC35:AC38,1),AC35:AC38,0))</f>
        <v/>
      </c>
      <c r="P35" s="14">
        <f>INDEX(Z35:Z38,MATCH(LARGE(AC35:AC38,1),AC35:AC38,0))</f>
        <v/>
      </c>
      <c r="Q35" s="14">
        <f>INDEX(AA35:AA38,MATCH(LARGE(AC35:AC38,1),AC35:AC38,0))</f>
        <v/>
      </c>
      <c r="R35" s="14">
        <f>INDEX(AB35:AB38,MATCH(LARGE(AC35:AC38,1),AC35:AC38,0))</f>
        <v/>
      </c>
      <c r="T35">
        <f>B35</f>
        <v/>
      </c>
      <c r="U35">
        <f>IF(AND(ISNUMBER(D35),ISNUMBER(E35)),1,0)+IF(AND(ISNUMBER(D37),ISNUMBER(E37)),1,0)+IF(AND(ISNUMBER(D39),ISNUMBER(E39)),1,0)</f>
        <v/>
      </c>
      <c r="V35">
        <f>IF(AND(ISNUMBER(D35),ISNUMBER(E35),D35&gt;E35),1,0)+IF(AND(ISNUMBER(D37),ISNUMBER(E37),D37&gt;E37),1,0)+IF(AND(ISNUMBER(D39),ISNUMBER(E39),D39&gt;E39),1,0)</f>
        <v/>
      </c>
      <c r="W35">
        <f>IF(AND(ISNUMBER(D35),ISNUMBER(E35),D35=E35),1,0)+IF(AND(ISNUMBER(D37),ISNUMBER(E37),D37=E37),1,0)+IF(AND(ISNUMBER(D39),ISNUMBER(E39),D39=E39),1,0)</f>
        <v/>
      </c>
      <c r="X35">
        <f>U35-V35-W35</f>
        <v/>
      </c>
      <c r="Y35">
        <f>IF(ISNUMBER(D35),D35,0)+IF(ISNUMBER(D37),D37,0)+IF(ISNUMBER(D39),D39,0)</f>
        <v/>
      </c>
      <c r="Z35">
        <f>IF(ISNUMBER(E35),E35,0)+IF(ISNUMBER(E37),E37,0)+IF(ISNUMBER(E39),E39,0)</f>
        <v/>
      </c>
      <c r="AA35">
        <f>Y35-Z35</f>
        <v/>
      </c>
      <c r="AB35">
        <f>V35*3+W35</f>
        <v/>
      </c>
      <c r="AC35">
        <f>AB35*1000000+(AA35+100)*1000+Y35*10+4</f>
        <v/>
      </c>
    </row>
    <row r="36" ht="16.5" customHeight="1">
      <c r="B36" s="9" t="inlineStr">
        <is>
          <t>Costa Rica 🇨🇷</t>
        </is>
      </c>
      <c r="C36" s="10" t="inlineStr">
        <is>
          <t>G-E3-E4</t>
        </is>
      </c>
      <c r="D36" s="11" t="n">
        <v>1</v>
      </c>
      <c r="E36" s="11" t="n">
        <v>2</v>
      </c>
      <c r="F36" s="12" t="inlineStr">
        <is>
          <t>🇪🇨 Ecuador</t>
        </is>
      </c>
      <c r="G36" s="13" t="inlineStr">
        <is>
          <t>Grupo E · J1</t>
        </is>
      </c>
      <c r="I36" s="14" t="n">
        <v>2</v>
      </c>
      <c r="J36" s="15">
        <f>INDEX(T35:T38,MATCH(LARGE(AC35:AC38,2),AC35:AC38,0))</f>
        <v/>
      </c>
      <c r="K36" s="14">
        <f>INDEX(U35:U38,MATCH(LARGE(AC35:AC38,2),AC35:AC38,0))</f>
        <v/>
      </c>
      <c r="L36" s="14">
        <f>INDEX(V35:V38,MATCH(LARGE(AC35:AC38,2),AC35:AC38,0))</f>
        <v/>
      </c>
      <c r="M36" s="14">
        <f>INDEX(W35:W38,MATCH(LARGE(AC35:AC38,2),AC35:AC38,0))</f>
        <v/>
      </c>
      <c r="N36" s="14">
        <f>INDEX(X35:X38,MATCH(LARGE(AC35:AC38,2),AC35:AC38,0))</f>
        <v/>
      </c>
      <c r="O36" s="14">
        <f>INDEX(Y35:Y38,MATCH(LARGE(AC35:AC38,2),AC35:AC38,0))</f>
        <v/>
      </c>
      <c r="P36" s="14">
        <f>INDEX(Z35:Z38,MATCH(LARGE(AC35:AC38,2),AC35:AC38,0))</f>
        <v/>
      </c>
      <c r="Q36" s="14">
        <f>INDEX(AA35:AA38,MATCH(LARGE(AC35:AC38,2),AC35:AC38,0))</f>
        <v/>
      </c>
      <c r="R36" s="14">
        <f>INDEX(AB35:AB38,MATCH(LARGE(AC35:AC38,2),AC35:AC38,0))</f>
        <v/>
      </c>
      <c r="T36">
        <f>F35</f>
        <v/>
      </c>
      <c r="U36">
        <f>IF(AND(ISNUMBER(D38),ISNUMBER(E38)),1,0)+IF(AND(ISNUMBER(D40),ISNUMBER(E40)),1,0)+IF(AND(ISNUMBER(D35),ISNUMBER(E35)),1,0)</f>
        <v/>
      </c>
      <c r="V36">
        <f>IF(AND(ISNUMBER(D38),ISNUMBER(E38),D38&gt;E38),1,0)+IF(AND(ISNUMBER(D40),ISNUMBER(E40),D40&gt;E40),1,0)+IF(AND(ISNUMBER(D35),ISNUMBER(E35),E35&gt;D35),1,0)</f>
        <v/>
      </c>
      <c r="W36">
        <f>IF(AND(ISNUMBER(D38),ISNUMBER(E38),D38=E38),1,0)+IF(AND(ISNUMBER(D40),ISNUMBER(E40),D40=E40),1,0)+IF(AND(ISNUMBER(D35),ISNUMBER(E35),D35=E35),1,0)</f>
        <v/>
      </c>
      <c r="X36">
        <f>U36-V36-W36</f>
        <v/>
      </c>
      <c r="Y36">
        <f>IF(ISNUMBER(D38),D38,0)+IF(ISNUMBER(D40),D40,0)+IF(ISNUMBER(E35),E35,0)</f>
        <v/>
      </c>
      <c r="Z36">
        <f>IF(ISNUMBER(E38),E38,0)+IF(ISNUMBER(E40),E40,0)+IF(ISNUMBER(D35),D35,0)</f>
        <v/>
      </c>
      <c r="AA36">
        <f>Y36-Z36</f>
        <v/>
      </c>
      <c r="AB36">
        <f>V36*3+W36</f>
        <v/>
      </c>
      <c r="AC36">
        <f>AB36*1000000+(AA36+100)*1000+Y36*10+3</f>
        <v/>
      </c>
    </row>
    <row r="37" ht="16.5" customHeight="1">
      <c r="B37" s="9" t="inlineStr">
        <is>
          <t>Alemania 🇩🇪</t>
        </is>
      </c>
      <c r="C37" s="10" t="inlineStr">
        <is>
          <t>G-E1-E3</t>
        </is>
      </c>
      <c r="D37" s="11" t="n">
        <v>3</v>
      </c>
      <c r="E37" s="11" t="n">
        <v>1</v>
      </c>
      <c r="F37" s="12" t="inlineStr">
        <is>
          <t>🇨🇷 Costa Rica</t>
        </is>
      </c>
      <c r="G37" s="13" t="inlineStr">
        <is>
          <t>Grupo E · J2</t>
        </is>
      </c>
      <c r="I37" s="16" t="n">
        <v>3</v>
      </c>
      <c r="J37" s="17">
        <f>INDEX(T35:T38,MATCH(LARGE(AC35:AC38,3),AC35:AC38,0))</f>
        <v/>
      </c>
      <c r="K37" s="16">
        <f>INDEX(U35:U38,MATCH(LARGE(AC35:AC38,3),AC35:AC38,0))</f>
        <v/>
      </c>
      <c r="L37" s="16">
        <f>INDEX(V35:V38,MATCH(LARGE(AC35:AC38,3),AC35:AC38,0))</f>
        <v/>
      </c>
      <c r="M37" s="16">
        <f>INDEX(W35:W38,MATCH(LARGE(AC35:AC38,3),AC35:AC38,0))</f>
        <v/>
      </c>
      <c r="N37" s="16">
        <f>INDEX(X35:X38,MATCH(LARGE(AC35:AC38,3),AC35:AC38,0))</f>
        <v/>
      </c>
      <c r="O37" s="16">
        <f>INDEX(Y35:Y38,MATCH(LARGE(AC35:AC38,3),AC35:AC38,0))</f>
        <v/>
      </c>
      <c r="P37" s="16">
        <f>INDEX(Z35:Z38,MATCH(LARGE(AC35:AC38,3),AC35:AC38,0))</f>
        <v/>
      </c>
      <c r="Q37" s="16">
        <f>INDEX(AA35:AA38,MATCH(LARGE(AC35:AC38,3),AC35:AC38,0))</f>
        <v/>
      </c>
      <c r="R37" s="16">
        <f>INDEX(AB35:AB38,MATCH(LARGE(AC35:AC38,3),AC35:AC38,0))</f>
        <v/>
      </c>
      <c r="T37">
        <f>B36</f>
        <v/>
      </c>
      <c r="U37">
        <f>IF(AND(ISNUMBER(D36),ISNUMBER(E36)),1,0)+IF(AND(ISNUMBER(D37),ISNUMBER(E37)),1,0)+IF(AND(ISNUMBER(D40),ISNUMBER(E40)),1,0)</f>
        <v/>
      </c>
      <c r="V37">
        <f>IF(AND(ISNUMBER(D36),ISNUMBER(E36),D36&gt;E36),1,0)+IF(AND(ISNUMBER(D37),ISNUMBER(E37),E37&gt;D37),1,0)+IF(AND(ISNUMBER(D40),ISNUMBER(E40),E40&gt;D40),1,0)</f>
        <v/>
      </c>
      <c r="W37">
        <f>IF(AND(ISNUMBER(D36),ISNUMBER(E36),D36=E36),1,0)+IF(AND(ISNUMBER(D37),ISNUMBER(E37),D37=E37),1,0)+IF(AND(ISNUMBER(D40),ISNUMBER(E40),D40=E40),1,0)</f>
        <v/>
      </c>
      <c r="X37">
        <f>U37-V37-W37</f>
        <v/>
      </c>
      <c r="Y37">
        <f>IF(ISNUMBER(D36),D36,0)+IF(ISNUMBER(E37),E37,0)+IF(ISNUMBER(E40),E40,0)</f>
        <v/>
      </c>
      <c r="Z37">
        <f>IF(ISNUMBER(E36),E36,0)+IF(ISNUMBER(D37),D37,0)+IF(ISNUMBER(D40),D40,0)</f>
        <v/>
      </c>
      <c r="AA37">
        <f>Y37-Z37</f>
        <v/>
      </c>
      <c r="AB37">
        <f>V37*3+W37</f>
        <v/>
      </c>
      <c r="AC37">
        <f>AB37*1000000+(AA37+100)*1000+Y37*10+2</f>
        <v/>
      </c>
    </row>
    <row r="38" ht="16.5" customHeight="1">
      <c r="B38" s="9" t="inlineStr">
        <is>
          <t>Curazao 🇨🇼</t>
        </is>
      </c>
      <c r="C38" s="10" t="inlineStr">
        <is>
          <t>G-E2-E4</t>
        </is>
      </c>
      <c r="D38" s="11" t="n">
        <v>0</v>
      </c>
      <c r="E38" s="11" t="n">
        <v>2</v>
      </c>
      <c r="F38" s="12" t="inlineStr">
        <is>
          <t>🇪🇨 Ecuador</t>
        </is>
      </c>
      <c r="G38" s="13" t="inlineStr">
        <is>
          <t>Grupo E · J2</t>
        </is>
      </c>
      <c r="I38" s="16" t="n">
        <v>4</v>
      </c>
      <c r="J38" s="17">
        <f>INDEX(T35:T38,MATCH(LARGE(AC35:AC38,4),AC35:AC38,0))</f>
        <v/>
      </c>
      <c r="K38" s="16">
        <f>INDEX(U35:U38,MATCH(LARGE(AC35:AC38,4),AC35:AC38,0))</f>
        <v/>
      </c>
      <c r="L38" s="16">
        <f>INDEX(V35:V38,MATCH(LARGE(AC35:AC38,4),AC35:AC38,0))</f>
        <v/>
      </c>
      <c r="M38" s="16">
        <f>INDEX(W35:W38,MATCH(LARGE(AC35:AC38,4),AC35:AC38,0))</f>
        <v/>
      </c>
      <c r="N38" s="16">
        <f>INDEX(X35:X38,MATCH(LARGE(AC35:AC38,4),AC35:AC38,0))</f>
        <v/>
      </c>
      <c r="O38" s="16">
        <f>INDEX(Y35:Y38,MATCH(LARGE(AC35:AC38,4),AC35:AC38,0))</f>
        <v/>
      </c>
      <c r="P38" s="16">
        <f>INDEX(Z35:Z38,MATCH(LARGE(AC35:AC38,4),AC35:AC38,0))</f>
        <v/>
      </c>
      <c r="Q38" s="16">
        <f>INDEX(AA35:AA38,MATCH(LARGE(AC35:AC38,4),AC35:AC38,0))</f>
        <v/>
      </c>
      <c r="R38" s="16">
        <f>INDEX(AB35:AB38,MATCH(LARGE(AC35:AC38,4),AC35:AC38,0))</f>
        <v/>
      </c>
      <c r="T38">
        <f>F36</f>
        <v/>
      </c>
      <c r="U38">
        <f>IF(AND(ISNUMBER(D36),ISNUMBER(E36)),1,0)+IF(AND(ISNUMBER(D38),ISNUMBER(E38)),1,0)+IF(AND(ISNUMBER(D39),ISNUMBER(E39)),1,0)</f>
        <v/>
      </c>
      <c r="V38">
        <f>IF(AND(ISNUMBER(D36),ISNUMBER(E36),E36&gt;D36),1,0)+IF(AND(ISNUMBER(D38),ISNUMBER(E38),E38&gt;D38),1,0)+IF(AND(ISNUMBER(D39),ISNUMBER(E39),E39&gt;D39),1,0)</f>
        <v/>
      </c>
      <c r="W38">
        <f>IF(AND(ISNUMBER(D36),ISNUMBER(E36),D36=E36),1,0)+IF(AND(ISNUMBER(D38),ISNUMBER(E38),D38=E38),1,0)+IF(AND(ISNUMBER(D39),ISNUMBER(E39),D39=E39),1,0)</f>
        <v/>
      </c>
      <c r="X38">
        <f>U38-V38-W38</f>
        <v/>
      </c>
      <c r="Y38">
        <f>IF(ISNUMBER(E36),E36,0)+IF(ISNUMBER(E38),E38,0)+IF(ISNUMBER(E39),E39,0)</f>
        <v/>
      </c>
      <c r="Z38">
        <f>IF(ISNUMBER(D36),D36,0)+IF(ISNUMBER(D38),D38,0)+IF(ISNUMBER(D39),D39,0)</f>
        <v/>
      </c>
      <c r="AA38">
        <f>Y38-Z38</f>
        <v/>
      </c>
      <c r="AB38">
        <f>V38*3+W38</f>
        <v/>
      </c>
      <c r="AC38">
        <f>AB38*1000000+(AA38+100)*1000+Y38*10+1</f>
        <v/>
      </c>
    </row>
    <row r="39" ht="16.5" customHeight="1">
      <c r="B39" s="9" t="inlineStr">
        <is>
          <t>Alemania 🇩🇪</t>
        </is>
      </c>
      <c r="C39" s="10" t="inlineStr">
        <is>
          <t>G-E1-E4</t>
        </is>
      </c>
      <c r="D39" s="11" t="n">
        <v>2</v>
      </c>
      <c r="E39" s="11" t="n">
        <v>1</v>
      </c>
      <c r="F39" s="12" t="inlineStr">
        <is>
          <t>🇪🇨 Ecuador</t>
        </is>
      </c>
      <c r="G39" s="13" t="inlineStr">
        <is>
          <t>Grupo E · J3</t>
        </is>
      </c>
    </row>
    <row r="40" ht="16.5" customHeight="1">
      <c r="B40" s="9" t="inlineStr">
        <is>
          <t>Curazao 🇨🇼</t>
        </is>
      </c>
      <c r="C40" s="10" t="inlineStr">
        <is>
          <t>G-E2-E3</t>
        </is>
      </c>
      <c r="D40" s="11" t="n">
        <v>0</v>
      </c>
      <c r="E40" s="11" t="n">
        <v>2</v>
      </c>
      <c r="F40" s="12" t="inlineStr">
        <is>
          <t>🇨🇷 Costa Rica</t>
        </is>
      </c>
      <c r="G40" s="13" t="inlineStr">
        <is>
          <t>Grupo E · J3</t>
        </is>
      </c>
    </row>
    <row r="41" ht="18" customHeight="1">
      <c r="B41" s="18" t="inlineStr">
        <is>
          <t xml:space="preserve">  Grupo F</t>
        </is>
      </c>
      <c r="I41" s="8" t="inlineStr">
        <is>
          <t>Pos</t>
        </is>
      </c>
      <c r="J41" s="8" t="inlineStr">
        <is>
          <t>Equipo</t>
        </is>
      </c>
      <c r="K41" s="8" t="inlineStr">
        <is>
          <t>PJ</t>
        </is>
      </c>
      <c r="L41" s="8" t="inlineStr">
        <is>
          <t>G</t>
        </is>
      </c>
      <c r="M41" s="8" t="inlineStr">
        <is>
          <t>E</t>
        </is>
      </c>
      <c r="N41" s="8" t="inlineStr">
        <is>
          <t>P</t>
        </is>
      </c>
      <c r="O41" s="8" t="inlineStr">
        <is>
          <t>GF</t>
        </is>
      </c>
      <c r="P41" s="8" t="inlineStr">
        <is>
          <t>GA</t>
        </is>
      </c>
      <c r="Q41" s="8" t="inlineStr">
        <is>
          <t>DG</t>
        </is>
      </c>
      <c r="R41" s="8" t="inlineStr">
        <is>
          <t>Pts</t>
        </is>
      </c>
    </row>
    <row r="42" ht="16.5" customHeight="1">
      <c r="B42" s="9" t="inlineStr">
        <is>
          <t>Países Bajos 🇳🇱</t>
        </is>
      </c>
      <c r="C42" s="10" t="inlineStr">
        <is>
          <t>G-F1-F2</t>
        </is>
      </c>
      <c r="D42" s="11" t="n">
        <v>3</v>
      </c>
      <c r="E42" s="11" t="n">
        <v>1</v>
      </c>
      <c r="F42" s="12" t="inlineStr">
        <is>
          <t>🇯🇵 Japón</t>
        </is>
      </c>
      <c r="G42" s="13" t="inlineStr">
        <is>
          <t>Grupo F · J1</t>
        </is>
      </c>
      <c r="I42" s="14" t="n">
        <v>1</v>
      </c>
      <c r="J42" s="15">
        <f>INDEX(T42:T45,MATCH(LARGE(AC42:AC45,1),AC42:AC45,0))</f>
        <v/>
      </c>
      <c r="K42" s="14">
        <f>INDEX(U42:U45,MATCH(LARGE(AC42:AC45,1),AC42:AC45,0))</f>
        <v/>
      </c>
      <c r="L42" s="14">
        <f>INDEX(V42:V45,MATCH(LARGE(AC42:AC45,1),AC42:AC45,0))</f>
        <v/>
      </c>
      <c r="M42" s="14">
        <f>INDEX(W42:W45,MATCH(LARGE(AC42:AC45,1),AC42:AC45,0))</f>
        <v/>
      </c>
      <c r="N42" s="14">
        <f>INDEX(X42:X45,MATCH(LARGE(AC42:AC45,1),AC42:AC45,0))</f>
        <v/>
      </c>
      <c r="O42" s="14">
        <f>INDEX(Y42:Y45,MATCH(LARGE(AC42:AC45,1),AC42:AC45,0))</f>
        <v/>
      </c>
      <c r="P42" s="14">
        <f>INDEX(Z42:Z45,MATCH(LARGE(AC42:AC45,1),AC42:AC45,0))</f>
        <v/>
      </c>
      <c r="Q42" s="14">
        <f>INDEX(AA42:AA45,MATCH(LARGE(AC42:AC45,1),AC42:AC45,0))</f>
        <v/>
      </c>
      <c r="R42" s="14">
        <f>INDEX(AB42:AB45,MATCH(LARGE(AC42:AC45,1),AC42:AC45,0))</f>
        <v/>
      </c>
      <c r="T42">
        <f>B42</f>
        <v/>
      </c>
      <c r="U42">
        <f>IF(AND(ISNUMBER(D42),ISNUMBER(E42)),1,0)+IF(AND(ISNUMBER(D44),ISNUMBER(E44)),1,0)+IF(AND(ISNUMBER(D46),ISNUMBER(E46)),1,0)</f>
        <v/>
      </c>
      <c r="V42">
        <f>IF(AND(ISNUMBER(D42),ISNUMBER(E42),D42&gt;E42),1,0)+IF(AND(ISNUMBER(D44),ISNUMBER(E44),D44&gt;E44),1,0)+IF(AND(ISNUMBER(D46),ISNUMBER(E46),D46&gt;E46),1,0)</f>
        <v/>
      </c>
      <c r="W42">
        <f>IF(AND(ISNUMBER(D42),ISNUMBER(E42),D42=E42),1,0)+IF(AND(ISNUMBER(D44),ISNUMBER(E44),D44=E44),1,0)+IF(AND(ISNUMBER(D46),ISNUMBER(E46),D46=E46),1,0)</f>
        <v/>
      </c>
      <c r="X42">
        <f>U42-V42-W42</f>
        <v/>
      </c>
      <c r="Y42">
        <f>IF(ISNUMBER(D42),D42,0)+IF(ISNUMBER(D44),D44,0)+IF(ISNUMBER(D46),D46,0)</f>
        <v/>
      </c>
      <c r="Z42">
        <f>IF(ISNUMBER(E42),E42,0)+IF(ISNUMBER(E44),E44,0)+IF(ISNUMBER(E46),E46,0)</f>
        <v/>
      </c>
      <c r="AA42">
        <f>Y42-Z42</f>
        <v/>
      </c>
      <c r="AB42">
        <f>V42*3+W42</f>
        <v/>
      </c>
      <c r="AC42">
        <f>AB42*1000000+(AA42+100)*1000+Y42*10+4</f>
        <v/>
      </c>
    </row>
    <row r="43" ht="16.5" customHeight="1">
      <c r="B43" s="9" t="inlineStr">
        <is>
          <t>Túnez 🇹🇳</t>
        </is>
      </c>
      <c r="C43" s="10" t="inlineStr">
        <is>
          <t>G-F3-F4</t>
        </is>
      </c>
      <c r="D43" s="11" t="n">
        <v>1</v>
      </c>
      <c r="E43" s="11" t="n">
        <v>1</v>
      </c>
      <c r="F43" s="12" t="inlineStr">
        <is>
          <t>🇸🇪 Suecia</t>
        </is>
      </c>
      <c r="G43" s="13" t="inlineStr">
        <is>
          <t>Grupo F · J1</t>
        </is>
      </c>
      <c r="I43" s="14" t="n">
        <v>2</v>
      </c>
      <c r="J43" s="15">
        <f>INDEX(T42:T45,MATCH(LARGE(AC42:AC45,2),AC42:AC45,0))</f>
        <v/>
      </c>
      <c r="K43" s="14">
        <f>INDEX(U42:U45,MATCH(LARGE(AC42:AC45,2),AC42:AC45,0))</f>
        <v/>
      </c>
      <c r="L43" s="14">
        <f>INDEX(V42:V45,MATCH(LARGE(AC42:AC45,2),AC42:AC45,0))</f>
        <v/>
      </c>
      <c r="M43" s="14">
        <f>INDEX(W42:W45,MATCH(LARGE(AC42:AC45,2),AC42:AC45,0))</f>
        <v/>
      </c>
      <c r="N43" s="14">
        <f>INDEX(X42:X45,MATCH(LARGE(AC42:AC45,2),AC42:AC45,0))</f>
        <v/>
      </c>
      <c r="O43" s="14">
        <f>INDEX(Y42:Y45,MATCH(LARGE(AC42:AC45,2),AC42:AC45,0))</f>
        <v/>
      </c>
      <c r="P43" s="14">
        <f>INDEX(Z42:Z45,MATCH(LARGE(AC42:AC45,2),AC42:AC45,0))</f>
        <v/>
      </c>
      <c r="Q43" s="14">
        <f>INDEX(AA42:AA45,MATCH(LARGE(AC42:AC45,2),AC42:AC45,0))</f>
        <v/>
      </c>
      <c r="R43" s="14">
        <f>INDEX(AB42:AB45,MATCH(LARGE(AC42:AC45,2),AC42:AC45,0))</f>
        <v/>
      </c>
      <c r="T43">
        <f>F42</f>
        <v/>
      </c>
      <c r="U43">
        <f>IF(AND(ISNUMBER(D45),ISNUMBER(E45)),1,0)+IF(AND(ISNUMBER(D47),ISNUMBER(E47)),1,0)+IF(AND(ISNUMBER(D42),ISNUMBER(E42)),1,0)</f>
        <v/>
      </c>
      <c r="V43">
        <f>IF(AND(ISNUMBER(D45),ISNUMBER(E45),D45&gt;E45),1,0)+IF(AND(ISNUMBER(D47),ISNUMBER(E47),D47&gt;E47),1,0)+IF(AND(ISNUMBER(D42),ISNUMBER(E42),E42&gt;D42),1,0)</f>
        <v/>
      </c>
      <c r="W43">
        <f>IF(AND(ISNUMBER(D45),ISNUMBER(E45),D45=E45),1,0)+IF(AND(ISNUMBER(D47),ISNUMBER(E47),D47=E47),1,0)+IF(AND(ISNUMBER(D42),ISNUMBER(E42),D42=E42),1,0)</f>
        <v/>
      </c>
      <c r="X43">
        <f>U43-V43-W43</f>
        <v/>
      </c>
      <c r="Y43">
        <f>IF(ISNUMBER(D45),D45,0)+IF(ISNUMBER(D47),D47,0)+IF(ISNUMBER(E42),E42,0)</f>
        <v/>
      </c>
      <c r="Z43">
        <f>IF(ISNUMBER(E45),E45,0)+IF(ISNUMBER(E47),E47,0)+IF(ISNUMBER(D42),D42,0)</f>
        <v/>
      </c>
      <c r="AA43">
        <f>Y43-Z43</f>
        <v/>
      </c>
      <c r="AB43">
        <f>V43*3+W43</f>
        <v/>
      </c>
      <c r="AC43">
        <f>AB43*1000000+(AA43+100)*1000+Y43*10+3</f>
        <v/>
      </c>
    </row>
    <row r="44" ht="16.5" customHeight="1">
      <c r="B44" s="9" t="inlineStr">
        <is>
          <t>Países Bajos 🇳🇱</t>
        </is>
      </c>
      <c r="C44" s="10" t="inlineStr">
        <is>
          <t>G-F1-F3</t>
        </is>
      </c>
      <c r="D44" s="11" t="n">
        <v>2</v>
      </c>
      <c r="E44" s="11" t="n">
        <v>0</v>
      </c>
      <c r="F44" s="12" t="inlineStr">
        <is>
          <t>🇹🇳 Túnez</t>
        </is>
      </c>
      <c r="G44" s="13" t="inlineStr">
        <is>
          <t>Grupo F · J2</t>
        </is>
      </c>
      <c r="I44" s="16" t="n">
        <v>3</v>
      </c>
      <c r="J44" s="17">
        <f>INDEX(T42:T45,MATCH(LARGE(AC42:AC45,3),AC42:AC45,0))</f>
        <v/>
      </c>
      <c r="K44" s="16">
        <f>INDEX(U42:U45,MATCH(LARGE(AC42:AC45,3),AC42:AC45,0))</f>
        <v/>
      </c>
      <c r="L44" s="16">
        <f>INDEX(V42:V45,MATCH(LARGE(AC42:AC45,3),AC42:AC45,0))</f>
        <v/>
      </c>
      <c r="M44" s="16">
        <f>INDEX(W42:W45,MATCH(LARGE(AC42:AC45,3),AC42:AC45,0))</f>
        <v/>
      </c>
      <c r="N44" s="16">
        <f>INDEX(X42:X45,MATCH(LARGE(AC42:AC45,3),AC42:AC45,0))</f>
        <v/>
      </c>
      <c r="O44" s="16">
        <f>INDEX(Y42:Y45,MATCH(LARGE(AC42:AC45,3),AC42:AC45,0))</f>
        <v/>
      </c>
      <c r="P44" s="16">
        <f>INDEX(Z42:Z45,MATCH(LARGE(AC42:AC45,3),AC42:AC45,0))</f>
        <v/>
      </c>
      <c r="Q44" s="16">
        <f>INDEX(AA42:AA45,MATCH(LARGE(AC42:AC45,3),AC42:AC45,0))</f>
        <v/>
      </c>
      <c r="R44" s="16">
        <f>INDEX(AB42:AB45,MATCH(LARGE(AC42:AC45,3),AC42:AC45,0))</f>
        <v/>
      </c>
      <c r="T44">
        <f>B43</f>
        <v/>
      </c>
      <c r="U44">
        <f>IF(AND(ISNUMBER(D43),ISNUMBER(E43)),1,0)+IF(AND(ISNUMBER(D44),ISNUMBER(E44)),1,0)+IF(AND(ISNUMBER(D47),ISNUMBER(E47)),1,0)</f>
        <v/>
      </c>
      <c r="V44">
        <f>IF(AND(ISNUMBER(D43),ISNUMBER(E43),D43&gt;E43),1,0)+IF(AND(ISNUMBER(D44),ISNUMBER(E44),E44&gt;D44),1,0)+IF(AND(ISNUMBER(D47),ISNUMBER(E47),E47&gt;D47),1,0)</f>
        <v/>
      </c>
      <c r="W44">
        <f>IF(AND(ISNUMBER(D43),ISNUMBER(E43),D43=E43),1,0)+IF(AND(ISNUMBER(D44),ISNUMBER(E44),D44=E44),1,0)+IF(AND(ISNUMBER(D47),ISNUMBER(E47),D47=E47),1,0)</f>
        <v/>
      </c>
      <c r="X44">
        <f>U44-V44-W44</f>
        <v/>
      </c>
      <c r="Y44">
        <f>IF(ISNUMBER(D43),D43,0)+IF(ISNUMBER(E44),E44,0)+IF(ISNUMBER(E47),E47,0)</f>
        <v/>
      </c>
      <c r="Z44">
        <f>IF(ISNUMBER(E43),E43,0)+IF(ISNUMBER(D44),D44,0)+IF(ISNUMBER(D47),D47,0)</f>
        <v/>
      </c>
      <c r="AA44">
        <f>Y44-Z44</f>
        <v/>
      </c>
      <c r="AB44">
        <f>V44*3+W44</f>
        <v/>
      </c>
      <c r="AC44">
        <f>AB44*1000000+(AA44+100)*1000+Y44*10+2</f>
        <v/>
      </c>
    </row>
    <row r="45" ht="16.5" customHeight="1">
      <c r="B45" s="9" t="inlineStr">
        <is>
          <t>Japón 🇯🇵</t>
        </is>
      </c>
      <c r="C45" s="10" t="inlineStr">
        <is>
          <t>G-F2-F4</t>
        </is>
      </c>
      <c r="D45" s="11" t="n">
        <v>0</v>
      </c>
      <c r="E45" s="11" t="n">
        <v>1</v>
      </c>
      <c r="F45" s="12" t="inlineStr">
        <is>
          <t>🇸🇪 Suecia</t>
        </is>
      </c>
      <c r="G45" s="13" t="inlineStr">
        <is>
          <t>Grupo F · J2</t>
        </is>
      </c>
      <c r="I45" s="16" t="n">
        <v>4</v>
      </c>
      <c r="J45" s="17">
        <f>INDEX(T42:T45,MATCH(LARGE(AC42:AC45,4),AC42:AC45,0))</f>
        <v/>
      </c>
      <c r="K45" s="16">
        <f>INDEX(U42:U45,MATCH(LARGE(AC42:AC45,4),AC42:AC45,0))</f>
        <v/>
      </c>
      <c r="L45" s="16">
        <f>INDEX(V42:V45,MATCH(LARGE(AC42:AC45,4),AC42:AC45,0))</f>
        <v/>
      </c>
      <c r="M45" s="16">
        <f>INDEX(W42:W45,MATCH(LARGE(AC42:AC45,4),AC42:AC45,0))</f>
        <v/>
      </c>
      <c r="N45" s="16">
        <f>INDEX(X42:X45,MATCH(LARGE(AC42:AC45,4),AC42:AC45,0))</f>
        <v/>
      </c>
      <c r="O45" s="16">
        <f>INDEX(Y42:Y45,MATCH(LARGE(AC42:AC45,4),AC42:AC45,0))</f>
        <v/>
      </c>
      <c r="P45" s="16">
        <f>INDEX(Z42:Z45,MATCH(LARGE(AC42:AC45,4),AC42:AC45,0))</f>
        <v/>
      </c>
      <c r="Q45" s="16">
        <f>INDEX(AA42:AA45,MATCH(LARGE(AC42:AC45,4),AC42:AC45,0))</f>
        <v/>
      </c>
      <c r="R45" s="16">
        <f>INDEX(AB42:AB45,MATCH(LARGE(AC42:AC45,4),AC42:AC45,0))</f>
        <v/>
      </c>
      <c r="T45">
        <f>F43</f>
        <v/>
      </c>
      <c r="U45">
        <f>IF(AND(ISNUMBER(D43),ISNUMBER(E43)),1,0)+IF(AND(ISNUMBER(D45),ISNUMBER(E45)),1,0)+IF(AND(ISNUMBER(D46),ISNUMBER(E46)),1,0)</f>
        <v/>
      </c>
      <c r="V45">
        <f>IF(AND(ISNUMBER(D43),ISNUMBER(E43),E43&gt;D43),1,0)+IF(AND(ISNUMBER(D45),ISNUMBER(E45),E45&gt;D45),1,0)+IF(AND(ISNUMBER(D46),ISNUMBER(E46),E46&gt;D46),1,0)</f>
        <v/>
      </c>
      <c r="W45">
        <f>IF(AND(ISNUMBER(D43),ISNUMBER(E43),D43=E43),1,0)+IF(AND(ISNUMBER(D45),ISNUMBER(E45),D45=E45),1,0)+IF(AND(ISNUMBER(D46),ISNUMBER(E46),D46=E46),1,0)</f>
        <v/>
      </c>
      <c r="X45">
        <f>U45-V45-W45</f>
        <v/>
      </c>
      <c r="Y45">
        <f>IF(ISNUMBER(E43),E43,0)+IF(ISNUMBER(E45),E45,0)+IF(ISNUMBER(E46),E46,0)</f>
        <v/>
      </c>
      <c r="Z45">
        <f>IF(ISNUMBER(D43),D43,0)+IF(ISNUMBER(D45),D45,0)+IF(ISNUMBER(D46),D46,0)</f>
        <v/>
      </c>
      <c r="AA45">
        <f>Y45-Z45</f>
        <v/>
      </c>
      <c r="AB45">
        <f>V45*3+W45</f>
        <v/>
      </c>
      <c r="AC45">
        <f>AB45*1000000+(AA45+100)*1000+Y45*10+1</f>
        <v/>
      </c>
    </row>
    <row r="46" ht="16.5" customHeight="1">
      <c r="B46" s="9" t="inlineStr">
        <is>
          <t>Países Bajos 🇳🇱</t>
        </is>
      </c>
      <c r="C46" s="10" t="inlineStr">
        <is>
          <t>G-F1-F4</t>
        </is>
      </c>
      <c r="D46" s="11" t="n">
        <v>2</v>
      </c>
      <c r="E46" s="11" t="n">
        <v>1</v>
      </c>
      <c r="F46" s="12" t="inlineStr">
        <is>
          <t>🇸🇪 Suecia</t>
        </is>
      </c>
      <c r="G46" s="13" t="inlineStr">
        <is>
          <t>Grupo F · J3</t>
        </is>
      </c>
    </row>
    <row r="47" ht="16.5" customHeight="1">
      <c r="B47" s="9" t="inlineStr">
        <is>
          <t>Japón 🇯🇵</t>
        </is>
      </c>
      <c r="C47" s="10" t="inlineStr">
        <is>
          <t>G-F2-F3</t>
        </is>
      </c>
      <c r="D47" s="11" t="n">
        <v>2</v>
      </c>
      <c r="E47" s="11" t="n">
        <v>0</v>
      </c>
      <c r="F47" s="12" t="inlineStr">
        <is>
          <t>🇹🇳 Túnez</t>
        </is>
      </c>
      <c r="G47" s="13" t="inlineStr">
        <is>
          <t>Grupo F · J3</t>
        </is>
      </c>
    </row>
    <row r="48" ht="18" customHeight="1">
      <c r="B48" s="18" t="inlineStr">
        <is>
          <t xml:space="preserve">  Grupo G</t>
        </is>
      </c>
      <c r="I48" s="8" t="inlineStr">
        <is>
          <t>Pos</t>
        </is>
      </c>
      <c r="J48" s="8" t="inlineStr">
        <is>
          <t>Equipo</t>
        </is>
      </c>
      <c r="K48" s="8" t="inlineStr">
        <is>
          <t>PJ</t>
        </is>
      </c>
      <c r="L48" s="8" t="inlineStr">
        <is>
          <t>G</t>
        </is>
      </c>
      <c r="M48" s="8" t="inlineStr">
        <is>
          <t>E</t>
        </is>
      </c>
      <c r="N48" s="8" t="inlineStr">
        <is>
          <t>P</t>
        </is>
      </c>
      <c r="O48" s="8" t="inlineStr">
        <is>
          <t>GF</t>
        </is>
      </c>
      <c r="P48" s="8" t="inlineStr">
        <is>
          <t>GA</t>
        </is>
      </c>
      <c r="Q48" s="8" t="inlineStr">
        <is>
          <t>DG</t>
        </is>
      </c>
      <c r="R48" s="8" t="inlineStr">
        <is>
          <t>Pts</t>
        </is>
      </c>
    </row>
    <row r="49" ht="16.5" customHeight="1">
      <c r="B49" s="9" t="inlineStr">
        <is>
          <t>Bélgica 🇧🇪</t>
        </is>
      </c>
      <c r="C49" s="10" t="inlineStr">
        <is>
          <t>G-G1-G2</t>
        </is>
      </c>
      <c r="D49" s="11" t="n">
        <v>2</v>
      </c>
      <c r="E49" s="11" t="n">
        <v>0</v>
      </c>
      <c r="F49" s="12" t="inlineStr">
        <is>
          <t>🇪🇬 Egipto</t>
        </is>
      </c>
      <c r="G49" s="13" t="inlineStr">
        <is>
          <t>Grupo G · J1</t>
        </is>
      </c>
      <c r="I49" s="14" t="n">
        <v>1</v>
      </c>
      <c r="J49" s="15">
        <f>INDEX(T49:T52,MATCH(LARGE(AC49:AC52,1),AC49:AC52,0))</f>
        <v/>
      </c>
      <c r="K49" s="14">
        <f>INDEX(U49:U52,MATCH(LARGE(AC49:AC52,1),AC49:AC52,0))</f>
        <v/>
      </c>
      <c r="L49" s="14">
        <f>INDEX(V49:V52,MATCH(LARGE(AC49:AC52,1),AC49:AC52,0))</f>
        <v/>
      </c>
      <c r="M49" s="14">
        <f>INDEX(W49:W52,MATCH(LARGE(AC49:AC52,1),AC49:AC52,0))</f>
        <v/>
      </c>
      <c r="N49" s="14">
        <f>INDEX(X49:X52,MATCH(LARGE(AC49:AC52,1),AC49:AC52,0))</f>
        <v/>
      </c>
      <c r="O49" s="14">
        <f>INDEX(Y49:Y52,MATCH(LARGE(AC49:AC52,1),AC49:AC52,0))</f>
        <v/>
      </c>
      <c r="P49" s="14">
        <f>INDEX(Z49:Z52,MATCH(LARGE(AC49:AC52,1),AC49:AC52,0))</f>
        <v/>
      </c>
      <c r="Q49" s="14">
        <f>INDEX(AA49:AA52,MATCH(LARGE(AC49:AC52,1),AC49:AC52,0))</f>
        <v/>
      </c>
      <c r="R49" s="14">
        <f>INDEX(AB49:AB52,MATCH(LARGE(AC49:AC52,1),AC49:AC52,0))</f>
        <v/>
      </c>
      <c r="T49">
        <f>B49</f>
        <v/>
      </c>
      <c r="U49">
        <f>IF(AND(ISNUMBER(D49),ISNUMBER(E49)),1,0)+IF(AND(ISNUMBER(D51),ISNUMBER(E51)),1,0)+IF(AND(ISNUMBER(D53),ISNUMBER(E53)),1,0)</f>
        <v/>
      </c>
      <c r="V49">
        <f>IF(AND(ISNUMBER(D49),ISNUMBER(E49),D49&gt;E49),1,0)+IF(AND(ISNUMBER(D51),ISNUMBER(E51),D51&gt;E51),1,0)+IF(AND(ISNUMBER(D53),ISNUMBER(E53),D53&gt;E53),1,0)</f>
        <v/>
      </c>
      <c r="W49">
        <f>IF(AND(ISNUMBER(D49),ISNUMBER(E49),D49=E49),1,0)+IF(AND(ISNUMBER(D51),ISNUMBER(E51),D51=E51),1,0)+IF(AND(ISNUMBER(D53),ISNUMBER(E53),D53=E53),1,0)</f>
        <v/>
      </c>
      <c r="X49">
        <f>U49-V49-W49</f>
        <v/>
      </c>
      <c r="Y49">
        <f>IF(ISNUMBER(D49),D49,0)+IF(ISNUMBER(D51),D51,0)+IF(ISNUMBER(D53),D53,0)</f>
        <v/>
      </c>
      <c r="Z49">
        <f>IF(ISNUMBER(E49),E49,0)+IF(ISNUMBER(E51),E51,0)+IF(ISNUMBER(E53),E53,0)</f>
        <v/>
      </c>
      <c r="AA49">
        <f>Y49-Z49</f>
        <v/>
      </c>
      <c r="AB49">
        <f>V49*3+W49</f>
        <v/>
      </c>
      <c r="AC49">
        <f>AB49*1000000+(AA49+100)*1000+Y49*10+4</f>
        <v/>
      </c>
    </row>
    <row r="50" ht="16.5" customHeight="1">
      <c r="B50" s="9" t="inlineStr">
        <is>
          <t>Irán 🇮🇷</t>
        </is>
      </c>
      <c r="C50" s="10" t="inlineStr">
        <is>
          <t>G-G3-G4</t>
        </is>
      </c>
      <c r="D50" s="11" t="n">
        <v>0</v>
      </c>
      <c r="E50" s="11" t="n">
        <v>0</v>
      </c>
      <c r="F50" s="12" t="inlineStr">
        <is>
          <t>🇳🇿 Nueva Zelanda</t>
        </is>
      </c>
      <c r="G50" s="13" t="inlineStr">
        <is>
          <t>Grupo G · J1</t>
        </is>
      </c>
      <c r="I50" s="14" t="n">
        <v>2</v>
      </c>
      <c r="J50" s="15">
        <f>INDEX(T49:T52,MATCH(LARGE(AC49:AC52,2),AC49:AC52,0))</f>
        <v/>
      </c>
      <c r="K50" s="14">
        <f>INDEX(U49:U52,MATCH(LARGE(AC49:AC52,2),AC49:AC52,0))</f>
        <v/>
      </c>
      <c r="L50" s="14">
        <f>INDEX(V49:V52,MATCH(LARGE(AC49:AC52,2),AC49:AC52,0))</f>
        <v/>
      </c>
      <c r="M50" s="14">
        <f>INDEX(W49:W52,MATCH(LARGE(AC49:AC52,2),AC49:AC52,0))</f>
        <v/>
      </c>
      <c r="N50" s="14">
        <f>INDEX(X49:X52,MATCH(LARGE(AC49:AC52,2),AC49:AC52,0))</f>
        <v/>
      </c>
      <c r="O50" s="14">
        <f>INDEX(Y49:Y52,MATCH(LARGE(AC49:AC52,2),AC49:AC52,0))</f>
        <v/>
      </c>
      <c r="P50" s="14">
        <f>INDEX(Z49:Z52,MATCH(LARGE(AC49:AC52,2),AC49:AC52,0))</f>
        <v/>
      </c>
      <c r="Q50" s="14">
        <f>INDEX(AA49:AA52,MATCH(LARGE(AC49:AC52,2),AC49:AC52,0))</f>
        <v/>
      </c>
      <c r="R50" s="14">
        <f>INDEX(AB49:AB52,MATCH(LARGE(AC49:AC52,2),AC49:AC52,0))</f>
        <v/>
      </c>
      <c r="T50">
        <f>F49</f>
        <v/>
      </c>
      <c r="U50">
        <f>IF(AND(ISNUMBER(D52),ISNUMBER(E52)),1,0)+IF(AND(ISNUMBER(D54),ISNUMBER(E54)),1,0)+IF(AND(ISNUMBER(D49),ISNUMBER(E49)),1,0)</f>
        <v/>
      </c>
      <c r="V50">
        <f>IF(AND(ISNUMBER(D52),ISNUMBER(E52),D52&gt;E52),1,0)+IF(AND(ISNUMBER(D54),ISNUMBER(E54),D54&gt;E54),1,0)+IF(AND(ISNUMBER(D49),ISNUMBER(E49),E49&gt;D49),1,0)</f>
        <v/>
      </c>
      <c r="W50">
        <f>IF(AND(ISNUMBER(D52),ISNUMBER(E52),D52=E52),1,0)+IF(AND(ISNUMBER(D54),ISNUMBER(E54),D54=E54),1,0)+IF(AND(ISNUMBER(D49),ISNUMBER(E49),D49=E49),1,0)</f>
        <v/>
      </c>
      <c r="X50">
        <f>U50-V50-W50</f>
        <v/>
      </c>
      <c r="Y50">
        <f>IF(ISNUMBER(D52),D52,0)+IF(ISNUMBER(D54),D54,0)+IF(ISNUMBER(E49),E49,0)</f>
        <v/>
      </c>
      <c r="Z50">
        <f>IF(ISNUMBER(E52),E52,0)+IF(ISNUMBER(E54),E54,0)+IF(ISNUMBER(D49),D49,0)</f>
        <v/>
      </c>
      <c r="AA50">
        <f>Y50-Z50</f>
        <v/>
      </c>
      <c r="AB50">
        <f>V50*3+W50</f>
        <v/>
      </c>
      <c r="AC50">
        <f>AB50*1000000+(AA50+100)*1000+Y50*10+3</f>
        <v/>
      </c>
    </row>
    <row r="51" ht="16.5" customHeight="1">
      <c r="B51" s="9" t="inlineStr">
        <is>
          <t>Bélgica 🇧🇪</t>
        </is>
      </c>
      <c r="C51" s="10" t="inlineStr">
        <is>
          <t>G-G1-G3</t>
        </is>
      </c>
      <c r="D51" s="11" t="n">
        <v>2</v>
      </c>
      <c r="E51" s="11" t="n">
        <v>0</v>
      </c>
      <c r="F51" s="12" t="inlineStr">
        <is>
          <t>🇮🇷 Irán</t>
        </is>
      </c>
      <c r="G51" s="13" t="inlineStr">
        <is>
          <t>Grupo G · J2</t>
        </is>
      </c>
      <c r="I51" s="16" t="n">
        <v>3</v>
      </c>
      <c r="J51" s="17">
        <f>INDEX(T49:T52,MATCH(LARGE(AC49:AC52,3),AC49:AC52,0))</f>
        <v/>
      </c>
      <c r="K51" s="16">
        <f>INDEX(U49:U52,MATCH(LARGE(AC49:AC52,3),AC49:AC52,0))</f>
        <v/>
      </c>
      <c r="L51" s="16">
        <f>INDEX(V49:V52,MATCH(LARGE(AC49:AC52,3),AC49:AC52,0))</f>
        <v/>
      </c>
      <c r="M51" s="16">
        <f>INDEX(W49:W52,MATCH(LARGE(AC49:AC52,3),AC49:AC52,0))</f>
        <v/>
      </c>
      <c r="N51" s="16">
        <f>INDEX(X49:X52,MATCH(LARGE(AC49:AC52,3),AC49:AC52,0))</f>
        <v/>
      </c>
      <c r="O51" s="16">
        <f>INDEX(Y49:Y52,MATCH(LARGE(AC49:AC52,3),AC49:AC52,0))</f>
        <v/>
      </c>
      <c r="P51" s="16">
        <f>INDEX(Z49:Z52,MATCH(LARGE(AC49:AC52,3),AC49:AC52,0))</f>
        <v/>
      </c>
      <c r="Q51" s="16">
        <f>INDEX(AA49:AA52,MATCH(LARGE(AC49:AC52,3),AC49:AC52,0))</f>
        <v/>
      </c>
      <c r="R51" s="16">
        <f>INDEX(AB49:AB52,MATCH(LARGE(AC49:AC52,3),AC49:AC52,0))</f>
        <v/>
      </c>
      <c r="T51">
        <f>B50</f>
        <v/>
      </c>
      <c r="U51">
        <f>IF(AND(ISNUMBER(D50),ISNUMBER(E50)),1,0)+IF(AND(ISNUMBER(D51),ISNUMBER(E51)),1,0)+IF(AND(ISNUMBER(D54),ISNUMBER(E54)),1,0)</f>
        <v/>
      </c>
      <c r="V51">
        <f>IF(AND(ISNUMBER(D50),ISNUMBER(E50),D50&gt;E50),1,0)+IF(AND(ISNUMBER(D51),ISNUMBER(E51),E51&gt;D51),1,0)+IF(AND(ISNUMBER(D54),ISNUMBER(E54),E54&gt;D54),1,0)</f>
        <v/>
      </c>
      <c r="W51">
        <f>IF(AND(ISNUMBER(D50),ISNUMBER(E50),D50=E50),1,0)+IF(AND(ISNUMBER(D51),ISNUMBER(E51),D51=E51),1,0)+IF(AND(ISNUMBER(D54),ISNUMBER(E54),D54=E54),1,0)</f>
        <v/>
      </c>
      <c r="X51">
        <f>U51-V51-W51</f>
        <v/>
      </c>
      <c r="Y51">
        <f>IF(ISNUMBER(D50),D50,0)+IF(ISNUMBER(E51),E51,0)+IF(ISNUMBER(E54),E54,0)</f>
        <v/>
      </c>
      <c r="Z51">
        <f>IF(ISNUMBER(E50),E50,0)+IF(ISNUMBER(D51),D51,0)+IF(ISNUMBER(D54),D54,0)</f>
        <v/>
      </c>
      <c r="AA51">
        <f>Y51-Z51</f>
        <v/>
      </c>
      <c r="AB51">
        <f>V51*3+W51</f>
        <v/>
      </c>
      <c r="AC51">
        <f>AB51*1000000+(AA51+100)*1000+Y51*10+2</f>
        <v/>
      </c>
    </row>
    <row r="52" ht="16.5" customHeight="1">
      <c r="B52" s="9" t="inlineStr">
        <is>
          <t>Egipto 🇪🇬</t>
        </is>
      </c>
      <c r="C52" s="10" t="inlineStr">
        <is>
          <t>G-G2-G4</t>
        </is>
      </c>
      <c r="D52" s="11" t="n">
        <v>1</v>
      </c>
      <c r="E52" s="11" t="n">
        <v>0</v>
      </c>
      <c r="F52" s="12" t="inlineStr">
        <is>
          <t>🇳🇿 Nueva Zelanda</t>
        </is>
      </c>
      <c r="G52" s="13" t="inlineStr">
        <is>
          <t>Grupo G · J2</t>
        </is>
      </c>
      <c r="I52" s="16" t="n">
        <v>4</v>
      </c>
      <c r="J52" s="17">
        <f>INDEX(T49:T52,MATCH(LARGE(AC49:AC52,4),AC49:AC52,0))</f>
        <v/>
      </c>
      <c r="K52" s="16">
        <f>INDEX(U49:U52,MATCH(LARGE(AC49:AC52,4),AC49:AC52,0))</f>
        <v/>
      </c>
      <c r="L52" s="16">
        <f>INDEX(V49:V52,MATCH(LARGE(AC49:AC52,4),AC49:AC52,0))</f>
        <v/>
      </c>
      <c r="M52" s="16">
        <f>INDEX(W49:W52,MATCH(LARGE(AC49:AC52,4),AC49:AC52,0))</f>
        <v/>
      </c>
      <c r="N52" s="16">
        <f>INDEX(X49:X52,MATCH(LARGE(AC49:AC52,4),AC49:AC52,0))</f>
        <v/>
      </c>
      <c r="O52" s="16">
        <f>INDEX(Y49:Y52,MATCH(LARGE(AC49:AC52,4),AC49:AC52,0))</f>
        <v/>
      </c>
      <c r="P52" s="16">
        <f>INDEX(Z49:Z52,MATCH(LARGE(AC49:AC52,4),AC49:AC52,0))</f>
        <v/>
      </c>
      <c r="Q52" s="16">
        <f>INDEX(AA49:AA52,MATCH(LARGE(AC49:AC52,4),AC49:AC52,0))</f>
        <v/>
      </c>
      <c r="R52" s="16">
        <f>INDEX(AB49:AB52,MATCH(LARGE(AC49:AC52,4),AC49:AC52,0))</f>
        <v/>
      </c>
      <c r="T52">
        <f>F50</f>
        <v/>
      </c>
      <c r="U52">
        <f>IF(AND(ISNUMBER(D50),ISNUMBER(E50)),1,0)+IF(AND(ISNUMBER(D52),ISNUMBER(E52)),1,0)+IF(AND(ISNUMBER(D53),ISNUMBER(E53)),1,0)</f>
        <v/>
      </c>
      <c r="V52">
        <f>IF(AND(ISNUMBER(D50),ISNUMBER(E50),E50&gt;D50),1,0)+IF(AND(ISNUMBER(D52),ISNUMBER(E52),E52&gt;D52),1,0)+IF(AND(ISNUMBER(D53),ISNUMBER(E53),E53&gt;D53),1,0)</f>
        <v/>
      </c>
      <c r="W52">
        <f>IF(AND(ISNUMBER(D50),ISNUMBER(E50),D50=E50),1,0)+IF(AND(ISNUMBER(D52),ISNUMBER(E52),D52=E52),1,0)+IF(AND(ISNUMBER(D53),ISNUMBER(E53),D53=E53),1,0)</f>
        <v/>
      </c>
      <c r="X52">
        <f>U52-V52-W52</f>
        <v/>
      </c>
      <c r="Y52">
        <f>IF(ISNUMBER(E50),E50,0)+IF(ISNUMBER(E52),E52,0)+IF(ISNUMBER(E53),E53,0)</f>
        <v/>
      </c>
      <c r="Z52">
        <f>IF(ISNUMBER(D50),D50,0)+IF(ISNUMBER(D52),D52,0)+IF(ISNUMBER(D53),D53,0)</f>
        <v/>
      </c>
      <c r="AA52">
        <f>Y52-Z52</f>
        <v/>
      </c>
      <c r="AB52">
        <f>V52*3+W52</f>
        <v/>
      </c>
      <c r="AC52">
        <f>AB52*1000000+(AA52+100)*1000+Y52*10+1</f>
        <v/>
      </c>
    </row>
    <row r="53" ht="16.5" customHeight="1">
      <c r="B53" s="9" t="inlineStr">
        <is>
          <t>Bélgica 🇧🇪</t>
        </is>
      </c>
      <c r="C53" s="10" t="inlineStr">
        <is>
          <t>G-G1-G4</t>
        </is>
      </c>
      <c r="D53" s="11" t="n">
        <v>3</v>
      </c>
      <c r="E53" s="11" t="n">
        <v>0</v>
      </c>
      <c r="F53" s="12" t="inlineStr">
        <is>
          <t>🇳🇿 Nueva Zelanda</t>
        </is>
      </c>
      <c r="G53" s="13" t="inlineStr">
        <is>
          <t>Grupo G · J3</t>
        </is>
      </c>
    </row>
    <row r="54" ht="16.5" customHeight="1">
      <c r="B54" s="9" t="inlineStr">
        <is>
          <t>Egipto 🇪🇬</t>
        </is>
      </c>
      <c r="C54" s="10" t="inlineStr">
        <is>
          <t>G-G2-G3</t>
        </is>
      </c>
      <c r="D54" s="11" t="n">
        <v>0</v>
      </c>
      <c r="E54" s="11" t="n">
        <v>0</v>
      </c>
      <c r="F54" s="12" t="inlineStr">
        <is>
          <t>🇮🇷 Irán</t>
        </is>
      </c>
      <c r="G54" s="13" t="inlineStr">
        <is>
          <t>Grupo G · J3</t>
        </is>
      </c>
    </row>
    <row r="55" ht="18" customHeight="1">
      <c r="B55" s="18" t="inlineStr">
        <is>
          <t xml:space="preserve">  Grupo H</t>
        </is>
      </c>
      <c r="I55" s="8" t="inlineStr">
        <is>
          <t>Pos</t>
        </is>
      </c>
      <c r="J55" s="8" t="inlineStr">
        <is>
          <t>Equipo</t>
        </is>
      </c>
      <c r="K55" s="8" t="inlineStr">
        <is>
          <t>PJ</t>
        </is>
      </c>
      <c r="L55" s="8" t="inlineStr">
        <is>
          <t>G</t>
        </is>
      </c>
      <c r="M55" s="8" t="inlineStr">
        <is>
          <t>E</t>
        </is>
      </c>
      <c r="N55" s="8" t="inlineStr">
        <is>
          <t>P</t>
        </is>
      </c>
      <c r="O55" s="8" t="inlineStr">
        <is>
          <t>GF</t>
        </is>
      </c>
      <c r="P55" s="8" t="inlineStr">
        <is>
          <t>GA</t>
        </is>
      </c>
      <c r="Q55" s="8" t="inlineStr">
        <is>
          <t>DG</t>
        </is>
      </c>
      <c r="R55" s="8" t="inlineStr">
        <is>
          <t>Pts</t>
        </is>
      </c>
    </row>
    <row r="56" ht="16.5" customHeight="1">
      <c r="B56" s="9" t="inlineStr">
        <is>
          <t>España 🇪🇸</t>
        </is>
      </c>
      <c r="C56" s="10" t="inlineStr">
        <is>
          <t>G-H1-H2</t>
        </is>
      </c>
      <c r="D56" s="11" t="n">
        <v>4</v>
      </c>
      <c r="E56" s="11" t="n">
        <v>0</v>
      </c>
      <c r="F56" s="12" t="inlineStr">
        <is>
          <t>🇨🇻 Cabo Verde</t>
        </is>
      </c>
      <c r="G56" s="13" t="inlineStr">
        <is>
          <t>Grupo H · J1</t>
        </is>
      </c>
      <c r="I56" s="14" t="n">
        <v>1</v>
      </c>
      <c r="J56" s="15">
        <f>INDEX(T56:T59,MATCH(LARGE(AC56:AC59,1),AC56:AC59,0))</f>
        <v/>
      </c>
      <c r="K56" s="14">
        <f>INDEX(U56:U59,MATCH(LARGE(AC56:AC59,1),AC56:AC59,0))</f>
        <v/>
      </c>
      <c r="L56" s="14">
        <f>INDEX(V56:V59,MATCH(LARGE(AC56:AC59,1),AC56:AC59,0))</f>
        <v/>
      </c>
      <c r="M56" s="14">
        <f>INDEX(W56:W59,MATCH(LARGE(AC56:AC59,1),AC56:AC59,0))</f>
        <v/>
      </c>
      <c r="N56" s="14">
        <f>INDEX(X56:X59,MATCH(LARGE(AC56:AC59,1),AC56:AC59,0))</f>
        <v/>
      </c>
      <c r="O56" s="14">
        <f>INDEX(Y56:Y59,MATCH(LARGE(AC56:AC59,1),AC56:AC59,0))</f>
        <v/>
      </c>
      <c r="P56" s="14">
        <f>INDEX(Z56:Z59,MATCH(LARGE(AC56:AC59,1),AC56:AC59,0))</f>
        <v/>
      </c>
      <c r="Q56" s="14">
        <f>INDEX(AA56:AA59,MATCH(LARGE(AC56:AC59,1),AC56:AC59,0))</f>
        <v/>
      </c>
      <c r="R56" s="14">
        <f>INDEX(AB56:AB59,MATCH(LARGE(AC56:AC59,1),AC56:AC59,0))</f>
        <v/>
      </c>
      <c r="T56">
        <f>B56</f>
        <v/>
      </c>
      <c r="U56">
        <f>IF(AND(ISNUMBER(D56),ISNUMBER(E56)),1,0)+IF(AND(ISNUMBER(D58),ISNUMBER(E58)),1,0)+IF(AND(ISNUMBER(D60),ISNUMBER(E60)),1,0)</f>
        <v/>
      </c>
      <c r="V56">
        <f>IF(AND(ISNUMBER(D56),ISNUMBER(E56),D56&gt;E56),1,0)+IF(AND(ISNUMBER(D58),ISNUMBER(E58),D58&gt;E58),1,0)+IF(AND(ISNUMBER(D60),ISNUMBER(E60),D60&gt;E60),1,0)</f>
        <v/>
      </c>
      <c r="W56">
        <f>IF(AND(ISNUMBER(D56),ISNUMBER(E56),D56=E56),1,0)+IF(AND(ISNUMBER(D58),ISNUMBER(E58),D58=E58),1,0)+IF(AND(ISNUMBER(D60),ISNUMBER(E60),D60=E60),1,0)</f>
        <v/>
      </c>
      <c r="X56">
        <f>U56-V56-W56</f>
        <v/>
      </c>
      <c r="Y56">
        <f>IF(ISNUMBER(D56),D56,0)+IF(ISNUMBER(D58),D58,0)+IF(ISNUMBER(D60),D60,0)</f>
        <v/>
      </c>
      <c r="Z56">
        <f>IF(ISNUMBER(E56),E56,0)+IF(ISNUMBER(E58),E58,0)+IF(ISNUMBER(E60),E60,0)</f>
        <v/>
      </c>
      <c r="AA56">
        <f>Y56-Z56</f>
        <v/>
      </c>
      <c r="AB56">
        <f>V56*3+W56</f>
        <v/>
      </c>
      <c r="AC56">
        <f>AB56*1000000+(AA56+100)*1000+Y56*10+4</f>
        <v/>
      </c>
    </row>
    <row r="57" ht="16.5" customHeight="1">
      <c r="B57" s="9" t="inlineStr">
        <is>
          <t>Arabia Saudí 🇸🇦</t>
        </is>
      </c>
      <c r="C57" s="10" t="inlineStr">
        <is>
          <t>G-H3-H4</t>
        </is>
      </c>
      <c r="D57" s="11" t="n">
        <v>0</v>
      </c>
      <c r="E57" s="11" t="n">
        <v>2</v>
      </c>
      <c r="F57" s="12" t="inlineStr">
        <is>
          <t>🇺🇾 Uruguay</t>
        </is>
      </c>
      <c r="G57" s="13" t="inlineStr">
        <is>
          <t>Grupo H · J1</t>
        </is>
      </c>
      <c r="I57" s="14" t="n">
        <v>2</v>
      </c>
      <c r="J57" s="15">
        <f>INDEX(T56:T59,MATCH(LARGE(AC56:AC59,2),AC56:AC59,0))</f>
        <v/>
      </c>
      <c r="K57" s="14">
        <f>INDEX(U56:U59,MATCH(LARGE(AC56:AC59,2),AC56:AC59,0))</f>
        <v/>
      </c>
      <c r="L57" s="14">
        <f>INDEX(V56:V59,MATCH(LARGE(AC56:AC59,2),AC56:AC59,0))</f>
        <v/>
      </c>
      <c r="M57" s="14">
        <f>INDEX(W56:W59,MATCH(LARGE(AC56:AC59,2),AC56:AC59,0))</f>
        <v/>
      </c>
      <c r="N57" s="14">
        <f>INDEX(X56:X59,MATCH(LARGE(AC56:AC59,2),AC56:AC59,0))</f>
        <v/>
      </c>
      <c r="O57" s="14">
        <f>INDEX(Y56:Y59,MATCH(LARGE(AC56:AC59,2),AC56:AC59,0))</f>
        <v/>
      </c>
      <c r="P57" s="14">
        <f>INDEX(Z56:Z59,MATCH(LARGE(AC56:AC59,2),AC56:AC59,0))</f>
        <v/>
      </c>
      <c r="Q57" s="14">
        <f>INDEX(AA56:AA59,MATCH(LARGE(AC56:AC59,2),AC56:AC59,0))</f>
        <v/>
      </c>
      <c r="R57" s="14">
        <f>INDEX(AB56:AB59,MATCH(LARGE(AC56:AC59,2),AC56:AC59,0))</f>
        <v/>
      </c>
      <c r="T57">
        <f>F56</f>
        <v/>
      </c>
      <c r="U57">
        <f>IF(AND(ISNUMBER(D59),ISNUMBER(E59)),1,0)+IF(AND(ISNUMBER(D61),ISNUMBER(E61)),1,0)+IF(AND(ISNUMBER(D56),ISNUMBER(E56)),1,0)</f>
        <v/>
      </c>
      <c r="V57">
        <f>IF(AND(ISNUMBER(D59),ISNUMBER(E59),D59&gt;E59),1,0)+IF(AND(ISNUMBER(D61),ISNUMBER(E61),D61&gt;E61),1,0)+IF(AND(ISNUMBER(D56),ISNUMBER(E56),E56&gt;D56),1,0)</f>
        <v/>
      </c>
      <c r="W57">
        <f>IF(AND(ISNUMBER(D59),ISNUMBER(E59),D59=E59),1,0)+IF(AND(ISNUMBER(D61),ISNUMBER(E61),D61=E61),1,0)+IF(AND(ISNUMBER(D56),ISNUMBER(E56),D56=E56),1,0)</f>
        <v/>
      </c>
      <c r="X57">
        <f>U57-V57-W57</f>
        <v/>
      </c>
      <c r="Y57">
        <f>IF(ISNUMBER(D59),D59,0)+IF(ISNUMBER(D61),D61,0)+IF(ISNUMBER(E56),E56,0)</f>
        <v/>
      </c>
      <c r="Z57">
        <f>IF(ISNUMBER(E59),E59,0)+IF(ISNUMBER(E61),E61,0)+IF(ISNUMBER(D56),D56,0)</f>
        <v/>
      </c>
      <c r="AA57">
        <f>Y57-Z57</f>
        <v/>
      </c>
      <c r="AB57">
        <f>V57*3+W57</f>
        <v/>
      </c>
      <c r="AC57">
        <f>AB57*1000000+(AA57+100)*1000+Y57*10+3</f>
        <v/>
      </c>
    </row>
    <row r="58" ht="16.5" customHeight="1">
      <c r="B58" s="9" t="inlineStr">
        <is>
          <t>España 🇪🇸</t>
        </is>
      </c>
      <c r="C58" s="10" t="inlineStr">
        <is>
          <t>G-H1-H3</t>
        </is>
      </c>
      <c r="D58" s="11" t="n">
        <v>2</v>
      </c>
      <c r="E58" s="11" t="n">
        <v>0</v>
      </c>
      <c r="F58" s="12" t="inlineStr">
        <is>
          <t>🇸🇦 Arabia Saudí</t>
        </is>
      </c>
      <c r="G58" s="13" t="inlineStr">
        <is>
          <t>Grupo H · J2</t>
        </is>
      </c>
      <c r="I58" s="16" t="n">
        <v>3</v>
      </c>
      <c r="J58" s="17">
        <f>INDEX(T56:T59,MATCH(LARGE(AC56:AC59,3),AC56:AC59,0))</f>
        <v/>
      </c>
      <c r="K58" s="16">
        <f>INDEX(U56:U59,MATCH(LARGE(AC56:AC59,3),AC56:AC59,0))</f>
        <v/>
      </c>
      <c r="L58" s="16">
        <f>INDEX(V56:V59,MATCH(LARGE(AC56:AC59,3),AC56:AC59,0))</f>
        <v/>
      </c>
      <c r="M58" s="16">
        <f>INDEX(W56:W59,MATCH(LARGE(AC56:AC59,3),AC56:AC59,0))</f>
        <v/>
      </c>
      <c r="N58" s="16">
        <f>INDEX(X56:X59,MATCH(LARGE(AC56:AC59,3),AC56:AC59,0))</f>
        <v/>
      </c>
      <c r="O58" s="16">
        <f>INDEX(Y56:Y59,MATCH(LARGE(AC56:AC59,3),AC56:AC59,0))</f>
        <v/>
      </c>
      <c r="P58" s="16">
        <f>INDEX(Z56:Z59,MATCH(LARGE(AC56:AC59,3),AC56:AC59,0))</f>
        <v/>
      </c>
      <c r="Q58" s="16">
        <f>INDEX(AA56:AA59,MATCH(LARGE(AC56:AC59,3),AC56:AC59,0))</f>
        <v/>
      </c>
      <c r="R58" s="16">
        <f>INDEX(AB56:AB59,MATCH(LARGE(AC56:AC59,3),AC56:AC59,0))</f>
        <v/>
      </c>
      <c r="T58">
        <f>B57</f>
        <v/>
      </c>
      <c r="U58">
        <f>IF(AND(ISNUMBER(D57),ISNUMBER(E57)),1,0)+IF(AND(ISNUMBER(D58),ISNUMBER(E58)),1,0)+IF(AND(ISNUMBER(D61),ISNUMBER(E61)),1,0)</f>
        <v/>
      </c>
      <c r="V58">
        <f>IF(AND(ISNUMBER(D57),ISNUMBER(E57),D57&gt;E57),1,0)+IF(AND(ISNUMBER(D58),ISNUMBER(E58),E58&gt;D58),1,0)+IF(AND(ISNUMBER(D61),ISNUMBER(E61),E61&gt;D61),1,0)</f>
        <v/>
      </c>
      <c r="W58">
        <f>IF(AND(ISNUMBER(D57),ISNUMBER(E57),D57=E57),1,0)+IF(AND(ISNUMBER(D58),ISNUMBER(E58),D58=E58),1,0)+IF(AND(ISNUMBER(D61),ISNUMBER(E61),D61=E61),1,0)</f>
        <v/>
      </c>
      <c r="X58">
        <f>U58-V58-W58</f>
        <v/>
      </c>
      <c r="Y58">
        <f>IF(ISNUMBER(D57),D57,0)+IF(ISNUMBER(E58),E58,0)+IF(ISNUMBER(E61),E61,0)</f>
        <v/>
      </c>
      <c r="Z58">
        <f>IF(ISNUMBER(E57),E57,0)+IF(ISNUMBER(D58),D58,0)+IF(ISNUMBER(D61),D61,0)</f>
        <v/>
      </c>
      <c r="AA58">
        <f>Y58-Z58</f>
        <v/>
      </c>
      <c r="AB58">
        <f>V58*3+W58</f>
        <v/>
      </c>
      <c r="AC58">
        <f>AB58*1000000+(AA58+100)*1000+Y58*10+2</f>
        <v/>
      </c>
    </row>
    <row r="59" ht="16.5" customHeight="1">
      <c r="B59" s="9" t="inlineStr">
        <is>
          <t>Cabo Verde 🇨🇻</t>
        </is>
      </c>
      <c r="C59" s="10" t="inlineStr">
        <is>
          <t>G-H2-H4</t>
        </is>
      </c>
      <c r="D59" s="11" t="n">
        <v>0</v>
      </c>
      <c r="E59" s="11" t="n">
        <v>2</v>
      </c>
      <c r="F59" s="12" t="inlineStr">
        <is>
          <t>🇺🇾 Uruguay</t>
        </is>
      </c>
      <c r="G59" s="13" t="inlineStr">
        <is>
          <t>Grupo H · J2</t>
        </is>
      </c>
      <c r="I59" s="16" t="n">
        <v>4</v>
      </c>
      <c r="J59" s="17">
        <f>INDEX(T56:T59,MATCH(LARGE(AC56:AC59,4),AC56:AC59,0))</f>
        <v/>
      </c>
      <c r="K59" s="16">
        <f>INDEX(U56:U59,MATCH(LARGE(AC56:AC59,4),AC56:AC59,0))</f>
        <v/>
      </c>
      <c r="L59" s="16">
        <f>INDEX(V56:V59,MATCH(LARGE(AC56:AC59,4),AC56:AC59,0))</f>
        <v/>
      </c>
      <c r="M59" s="16">
        <f>INDEX(W56:W59,MATCH(LARGE(AC56:AC59,4),AC56:AC59,0))</f>
        <v/>
      </c>
      <c r="N59" s="16">
        <f>INDEX(X56:X59,MATCH(LARGE(AC56:AC59,4),AC56:AC59,0))</f>
        <v/>
      </c>
      <c r="O59" s="16">
        <f>INDEX(Y56:Y59,MATCH(LARGE(AC56:AC59,4),AC56:AC59,0))</f>
        <v/>
      </c>
      <c r="P59" s="16">
        <f>INDEX(Z56:Z59,MATCH(LARGE(AC56:AC59,4),AC56:AC59,0))</f>
        <v/>
      </c>
      <c r="Q59" s="16">
        <f>INDEX(AA56:AA59,MATCH(LARGE(AC56:AC59,4),AC56:AC59,0))</f>
        <v/>
      </c>
      <c r="R59" s="16">
        <f>INDEX(AB56:AB59,MATCH(LARGE(AC56:AC59,4),AC56:AC59,0))</f>
        <v/>
      </c>
      <c r="T59">
        <f>F57</f>
        <v/>
      </c>
      <c r="U59">
        <f>IF(AND(ISNUMBER(D57),ISNUMBER(E57)),1,0)+IF(AND(ISNUMBER(D59),ISNUMBER(E59)),1,0)+IF(AND(ISNUMBER(D60),ISNUMBER(E60)),1,0)</f>
        <v/>
      </c>
      <c r="V59">
        <f>IF(AND(ISNUMBER(D57),ISNUMBER(E57),E57&gt;D57),1,0)+IF(AND(ISNUMBER(D59),ISNUMBER(E59),E59&gt;D59),1,0)+IF(AND(ISNUMBER(D60),ISNUMBER(E60),E60&gt;D60),1,0)</f>
        <v/>
      </c>
      <c r="W59">
        <f>IF(AND(ISNUMBER(D57),ISNUMBER(E57),D57=E57),1,0)+IF(AND(ISNUMBER(D59),ISNUMBER(E59),D59=E59),1,0)+IF(AND(ISNUMBER(D60),ISNUMBER(E60),D60=E60),1,0)</f>
        <v/>
      </c>
      <c r="X59">
        <f>U59-V59-W59</f>
        <v/>
      </c>
      <c r="Y59">
        <f>IF(ISNUMBER(E57),E57,0)+IF(ISNUMBER(E59),E59,0)+IF(ISNUMBER(E60),E60,0)</f>
        <v/>
      </c>
      <c r="Z59">
        <f>IF(ISNUMBER(D57),D57,0)+IF(ISNUMBER(D59),D59,0)+IF(ISNUMBER(D60),D60,0)</f>
        <v/>
      </c>
      <c r="AA59">
        <f>Y59-Z59</f>
        <v/>
      </c>
      <c r="AB59">
        <f>V59*3+W59</f>
        <v/>
      </c>
      <c r="AC59">
        <f>AB59*1000000+(AA59+100)*1000+Y59*10+1</f>
        <v/>
      </c>
    </row>
    <row r="60" ht="16.5" customHeight="1">
      <c r="B60" s="9" t="inlineStr">
        <is>
          <t>España 🇪🇸</t>
        </is>
      </c>
      <c r="C60" s="10" t="inlineStr">
        <is>
          <t>G-H1-H4</t>
        </is>
      </c>
      <c r="D60" s="11" t="n">
        <v>1</v>
      </c>
      <c r="E60" s="11" t="n">
        <v>1</v>
      </c>
      <c r="F60" s="12" t="inlineStr">
        <is>
          <t>🇺🇾 Uruguay</t>
        </is>
      </c>
      <c r="G60" s="13" t="inlineStr">
        <is>
          <t>Grupo H · J3</t>
        </is>
      </c>
    </row>
    <row r="61" ht="16.5" customHeight="1">
      <c r="B61" s="9" t="inlineStr">
        <is>
          <t>Cabo Verde 🇨🇻</t>
        </is>
      </c>
      <c r="C61" s="10" t="inlineStr">
        <is>
          <t>G-H2-H3</t>
        </is>
      </c>
      <c r="D61" s="11" t="n">
        <v>1</v>
      </c>
      <c r="E61" s="11" t="n">
        <v>1</v>
      </c>
      <c r="F61" s="12" t="inlineStr">
        <is>
          <t>🇸🇦 Arabia Saudí</t>
        </is>
      </c>
      <c r="G61" s="13" t="inlineStr">
        <is>
          <t>Grupo H · J3</t>
        </is>
      </c>
    </row>
    <row r="62" ht="18" customHeight="1">
      <c r="B62" s="18" t="inlineStr">
        <is>
          <t xml:space="preserve">  Grupo I</t>
        </is>
      </c>
      <c r="I62" s="8" t="inlineStr">
        <is>
          <t>Pos</t>
        </is>
      </c>
      <c r="J62" s="8" t="inlineStr">
        <is>
          <t>Equipo</t>
        </is>
      </c>
      <c r="K62" s="8" t="inlineStr">
        <is>
          <t>PJ</t>
        </is>
      </c>
      <c r="L62" s="8" t="inlineStr">
        <is>
          <t>G</t>
        </is>
      </c>
      <c r="M62" s="8" t="inlineStr">
        <is>
          <t>E</t>
        </is>
      </c>
      <c r="N62" s="8" t="inlineStr">
        <is>
          <t>P</t>
        </is>
      </c>
      <c r="O62" s="8" t="inlineStr">
        <is>
          <t>GF</t>
        </is>
      </c>
      <c r="P62" s="8" t="inlineStr">
        <is>
          <t>GA</t>
        </is>
      </c>
      <c r="Q62" s="8" t="inlineStr">
        <is>
          <t>DG</t>
        </is>
      </c>
      <c r="R62" s="8" t="inlineStr">
        <is>
          <t>Pts</t>
        </is>
      </c>
    </row>
    <row r="63" ht="16.5" customHeight="1">
      <c r="B63" s="9" t="inlineStr">
        <is>
          <t>Francia 🇫🇷</t>
        </is>
      </c>
      <c r="C63" s="10" t="inlineStr">
        <is>
          <t>G-I1-I2</t>
        </is>
      </c>
      <c r="D63" s="11" t="n">
        <v>2</v>
      </c>
      <c r="E63" s="11" t="n">
        <v>0</v>
      </c>
      <c r="F63" s="12" t="inlineStr">
        <is>
          <t>🇸🇳 Senegal</t>
        </is>
      </c>
      <c r="G63" s="13" t="inlineStr">
        <is>
          <t>Grupo I · J1</t>
        </is>
      </c>
      <c r="I63" s="14" t="n">
        <v>1</v>
      </c>
      <c r="J63" s="15">
        <f>INDEX(T63:T66,MATCH(LARGE(AC63:AC66,1),AC63:AC66,0))</f>
        <v/>
      </c>
      <c r="K63" s="14">
        <f>INDEX(U63:U66,MATCH(LARGE(AC63:AC66,1),AC63:AC66,0))</f>
        <v/>
      </c>
      <c r="L63" s="14">
        <f>INDEX(V63:V66,MATCH(LARGE(AC63:AC66,1),AC63:AC66,0))</f>
        <v/>
      </c>
      <c r="M63" s="14">
        <f>INDEX(W63:W66,MATCH(LARGE(AC63:AC66,1),AC63:AC66,0))</f>
        <v/>
      </c>
      <c r="N63" s="14">
        <f>INDEX(X63:X66,MATCH(LARGE(AC63:AC66,1),AC63:AC66,0))</f>
        <v/>
      </c>
      <c r="O63" s="14">
        <f>INDEX(Y63:Y66,MATCH(LARGE(AC63:AC66,1),AC63:AC66,0))</f>
        <v/>
      </c>
      <c r="P63" s="14">
        <f>INDEX(Z63:Z66,MATCH(LARGE(AC63:AC66,1),AC63:AC66,0))</f>
        <v/>
      </c>
      <c r="Q63" s="14">
        <f>INDEX(AA63:AA66,MATCH(LARGE(AC63:AC66,1),AC63:AC66,0))</f>
        <v/>
      </c>
      <c r="R63" s="14">
        <f>INDEX(AB63:AB66,MATCH(LARGE(AC63:AC66,1),AC63:AC66,0))</f>
        <v/>
      </c>
      <c r="T63">
        <f>B63</f>
        <v/>
      </c>
      <c r="U63">
        <f>IF(AND(ISNUMBER(D63),ISNUMBER(E63)),1,0)+IF(AND(ISNUMBER(D65),ISNUMBER(E65)),1,0)+IF(AND(ISNUMBER(D67),ISNUMBER(E67)),1,0)</f>
        <v/>
      </c>
      <c r="V63">
        <f>IF(AND(ISNUMBER(D63),ISNUMBER(E63),D63&gt;E63),1,0)+IF(AND(ISNUMBER(D65),ISNUMBER(E65),D65&gt;E65),1,0)+IF(AND(ISNUMBER(D67),ISNUMBER(E67),D67&gt;E67),1,0)</f>
        <v/>
      </c>
      <c r="W63">
        <f>IF(AND(ISNUMBER(D63),ISNUMBER(E63),D63=E63),1,0)+IF(AND(ISNUMBER(D65),ISNUMBER(E65),D65=E65),1,0)+IF(AND(ISNUMBER(D67),ISNUMBER(E67),D67=E67),1,0)</f>
        <v/>
      </c>
      <c r="X63">
        <f>U63-V63-W63</f>
        <v/>
      </c>
      <c r="Y63">
        <f>IF(ISNUMBER(D63),D63,0)+IF(ISNUMBER(D65),D65,0)+IF(ISNUMBER(D67),D67,0)</f>
        <v/>
      </c>
      <c r="Z63">
        <f>IF(ISNUMBER(E63),E63,0)+IF(ISNUMBER(E65),E65,0)+IF(ISNUMBER(E67),E67,0)</f>
        <v/>
      </c>
      <c r="AA63">
        <f>Y63-Z63</f>
        <v/>
      </c>
      <c r="AB63">
        <f>V63*3+W63</f>
        <v/>
      </c>
      <c r="AC63">
        <f>AB63*1000000+(AA63+100)*1000+Y63*10+4</f>
        <v/>
      </c>
    </row>
    <row r="64" ht="16.5" customHeight="1">
      <c r="B64" s="9" t="inlineStr">
        <is>
          <t>Noruega 🇳🇴</t>
        </is>
      </c>
      <c r="C64" s="10" t="inlineStr">
        <is>
          <t>G-I3-I4</t>
        </is>
      </c>
      <c r="D64" s="11" t="n">
        <v>3</v>
      </c>
      <c r="E64" s="11" t="n">
        <v>1</v>
      </c>
      <c r="F64" s="12" t="inlineStr">
        <is>
          <t>🇮🇶 Irak</t>
        </is>
      </c>
      <c r="G64" s="13" t="inlineStr">
        <is>
          <t>Grupo I · J1</t>
        </is>
      </c>
      <c r="I64" s="14" t="n">
        <v>2</v>
      </c>
      <c r="J64" s="15">
        <f>INDEX(T63:T66,MATCH(LARGE(AC63:AC66,2),AC63:AC66,0))</f>
        <v/>
      </c>
      <c r="K64" s="14">
        <f>INDEX(U63:U66,MATCH(LARGE(AC63:AC66,2),AC63:AC66,0))</f>
        <v/>
      </c>
      <c r="L64" s="14">
        <f>INDEX(V63:V66,MATCH(LARGE(AC63:AC66,2),AC63:AC66,0))</f>
        <v/>
      </c>
      <c r="M64" s="14">
        <f>INDEX(W63:W66,MATCH(LARGE(AC63:AC66,2),AC63:AC66,0))</f>
        <v/>
      </c>
      <c r="N64" s="14">
        <f>INDEX(X63:X66,MATCH(LARGE(AC63:AC66,2),AC63:AC66,0))</f>
        <v/>
      </c>
      <c r="O64" s="14">
        <f>INDEX(Y63:Y66,MATCH(LARGE(AC63:AC66,2),AC63:AC66,0))</f>
        <v/>
      </c>
      <c r="P64" s="14">
        <f>INDEX(Z63:Z66,MATCH(LARGE(AC63:AC66,2),AC63:AC66,0))</f>
        <v/>
      </c>
      <c r="Q64" s="14">
        <f>INDEX(AA63:AA66,MATCH(LARGE(AC63:AC66,2),AC63:AC66,0))</f>
        <v/>
      </c>
      <c r="R64" s="14">
        <f>INDEX(AB63:AB66,MATCH(LARGE(AC63:AC66,2),AC63:AC66,0))</f>
        <v/>
      </c>
      <c r="T64">
        <f>F63</f>
        <v/>
      </c>
      <c r="U64">
        <f>IF(AND(ISNUMBER(D66),ISNUMBER(E66)),1,0)+IF(AND(ISNUMBER(D68),ISNUMBER(E68)),1,0)+IF(AND(ISNUMBER(D63),ISNUMBER(E63)),1,0)</f>
        <v/>
      </c>
      <c r="V64">
        <f>IF(AND(ISNUMBER(D66),ISNUMBER(E66),D66&gt;E66),1,0)+IF(AND(ISNUMBER(D68),ISNUMBER(E68),D68&gt;E68),1,0)+IF(AND(ISNUMBER(D63),ISNUMBER(E63),E63&gt;D63),1,0)</f>
        <v/>
      </c>
      <c r="W64">
        <f>IF(AND(ISNUMBER(D66),ISNUMBER(E66),D66=E66),1,0)+IF(AND(ISNUMBER(D68),ISNUMBER(E68),D68=E68),1,0)+IF(AND(ISNUMBER(D63),ISNUMBER(E63),D63=E63),1,0)</f>
        <v/>
      </c>
      <c r="X64">
        <f>U64-V64-W64</f>
        <v/>
      </c>
      <c r="Y64">
        <f>IF(ISNUMBER(D66),D66,0)+IF(ISNUMBER(D68),D68,0)+IF(ISNUMBER(E63),E63,0)</f>
        <v/>
      </c>
      <c r="Z64">
        <f>IF(ISNUMBER(E66),E66,0)+IF(ISNUMBER(E68),E68,0)+IF(ISNUMBER(D63),D63,0)</f>
        <v/>
      </c>
      <c r="AA64">
        <f>Y64-Z64</f>
        <v/>
      </c>
      <c r="AB64">
        <f>V64*3+W64</f>
        <v/>
      </c>
      <c r="AC64">
        <f>AB64*1000000+(AA64+100)*1000+Y64*10+3</f>
        <v/>
      </c>
    </row>
    <row r="65" ht="15" customHeight="1">
      <c r="B65" s="9" t="inlineStr">
        <is>
          <t>Francia 🇫🇷</t>
        </is>
      </c>
      <c r="C65" s="10" t="inlineStr">
        <is>
          <t>G-I1-I3</t>
        </is>
      </c>
      <c r="D65" s="11" t="n">
        <v>3</v>
      </c>
      <c r="E65" s="11" t="n">
        <v>1</v>
      </c>
      <c r="F65" s="12" t="inlineStr">
        <is>
          <t>🇳🇴 Noruega</t>
        </is>
      </c>
      <c r="G65" s="13" t="inlineStr">
        <is>
          <t>Grupo I · J2</t>
        </is>
      </c>
      <c r="I65" s="16" t="n">
        <v>3</v>
      </c>
      <c r="J65" s="17">
        <f>INDEX(T63:T66,MATCH(LARGE(AC63:AC66,3),AC63:AC66,0))</f>
        <v/>
      </c>
      <c r="K65" s="16">
        <f>INDEX(U63:U66,MATCH(LARGE(AC63:AC66,3),AC63:AC66,0))</f>
        <v/>
      </c>
      <c r="L65" s="16">
        <f>INDEX(V63:V66,MATCH(LARGE(AC63:AC66,3),AC63:AC66,0))</f>
        <v/>
      </c>
      <c r="M65" s="16">
        <f>INDEX(W63:W66,MATCH(LARGE(AC63:AC66,3),AC63:AC66,0))</f>
        <v/>
      </c>
      <c r="N65" s="16">
        <f>INDEX(X63:X66,MATCH(LARGE(AC63:AC66,3),AC63:AC66,0))</f>
        <v/>
      </c>
      <c r="O65" s="16">
        <f>INDEX(Y63:Y66,MATCH(LARGE(AC63:AC66,3),AC63:AC66,0))</f>
        <v/>
      </c>
      <c r="P65" s="16">
        <f>INDEX(Z63:Z66,MATCH(LARGE(AC63:AC66,3),AC63:AC66,0))</f>
        <v/>
      </c>
      <c r="Q65" s="16">
        <f>INDEX(AA63:AA66,MATCH(LARGE(AC63:AC66,3),AC63:AC66,0))</f>
        <v/>
      </c>
      <c r="R65" s="16">
        <f>INDEX(AB63:AB66,MATCH(LARGE(AC63:AC66,3),AC63:AC66,0))</f>
        <v/>
      </c>
      <c r="T65">
        <f>B64</f>
        <v/>
      </c>
      <c r="U65">
        <f>IF(AND(ISNUMBER(D64),ISNUMBER(E64)),1,0)+IF(AND(ISNUMBER(D65),ISNUMBER(E65)),1,0)+IF(AND(ISNUMBER(D68),ISNUMBER(E68)),1,0)</f>
        <v/>
      </c>
      <c r="V65">
        <f>IF(AND(ISNUMBER(D64),ISNUMBER(E64),D64&gt;E64),1,0)+IF(AND(ISNUMBER(D65),ISNUMBER(E65),E65&gt;D65),1,0)+IF(AND(ISNUMBER(D68),ISNUMBER(E68),E68&gt;D68),1,0)</f>
        <v/>
      </c>
      <c r="W65">
        <f>IF(AND(ISNUMBER(D64),ISNUMBER(E64),D64=E64),1,0)+IF(AND(ISNUMBER(D65),ISNUMBER(E65),D65=E65),1,0)+IF(AND(ISNUMBER(D68),ISNUMBER(E68),D68=E68),1,0)</f>
        <v/>
      </c>
      <c r="X65">
        <f>U65-V65-W65</f>
        <v/>
      </c>
      <c r="Y65">
        <f>IF(ISNUMBER(D64),D64,0)+IF(ISNUMBER(E65),E65,0)+IF(ISNUMBER(E68),E68,0)</f>
        <v/>
      </c>
      <c r="Z65">
        <f>IF(ISNUMBER(E64),E64,0)+IF(ISNUMBER(D65),D65,0)+IF(ISNUMBER(D68),D68,0)</f>
        <v/>
      </c>
      <c r="AA65">
        <f>Y65-Z65</f>
        <v/>
      </c>
      <c r="AB65">
        <f>V65*3+W65</f>
        <v/>
      </c>
      <c r="AC65">
        <f>AB65*1000000+(AA65+100)*1000+Y65*10+2</f>
        <v/>
      </c>
    </row>
    <row r="66" ht="15" customHeight="1">
      <c r="B66" s="9" t="inlineStr">
        <is>
          <t>Senegal 🇸🇳</t>
        </is>
      </c>
      <c r="C66" s="10" t="inlineStr">
        <is>
          <t>G-I2-I4</t>
        </is>
      </c>
      <c r="D66" s="11" t="n">
        <v>2</v>
      </c>
      <c r="E66" s="11" t="n">
        <v>0</v>
      </c>
      <c r="F66" s="12" t="inlineStr">
        <is>
          <t>🇮🇶 Irak</t>
        </is>
      </c>
      <c r="G66" s="13" t="inlineStr">
        <is>
          <t>Grupo I · J2</t>
        </is>
      </c>
      <c r="I66" s="16" t="n">
        <v>4</v>
      </c>
      <c r="J66" s="17">
        <f>INDEX(T63:T66,MATCH(LARGE(AC63:AC66,4),AC63:AC66,0))</f>
        <v/>
      </c>
      <c r="K66" s="16">
        <f>INDEX(U63:U66,MATCH(LARGE(AC63:AC66,4),AC63:AC66,0))</f>
        <v/>
      </c>
      <c r="L66" s="16">
        <f>INDEX(V63:V66,MATCH(LARGE(AC63:AC66,4),AC63:AC66,0))</f>
        <v/>
      </c>
      <c r="M66" s="16">
        <f>INDEX(W63:W66,MATCH(LARGE(AC63:AC66,4),AC63:AC66,0))</f>
        <v/>
      </c>
      <c r="N66" s="16">
        <f>INDEX(X63:X66,MATCH(LARGE(AC63:AC66,4),AC63:AC66,0))</f>
        <v/>
      </c>
      <c r="O66" s="16">
        <f>INDEX(Y63:Y66,MATCH(LARGE(AC63:AC66,4),AC63:AC66,0))</f>
        <v/>
      </c>
      <c r="P66" s="16">
        <f>INDEX(Z63:Z66,MATCH(LARGE(AC63:AC66,4),AC63:AC66,0))</f>
        <v/>
      </c>
      <c r="Q66" s="16">
        <f>INDEX(AA63:AA66,MATCH(LARGE(AC63:AC66,4),AC63:AC66,0))</f>
        <v/>
      </c>
      <c r="R66" s="16">
        <f>INDEX(AB63:AB66,MATCH(LARGE(AC63:AC66,4),AC63:AC66,0))</f>
        <v/>
      </c>
      <c r="T66">
        <f>F64</f>
        <v/>
      </c>
      <c r="U66">
        <f>IF(AND(ISNUMBER(D64),ISNUMBER(E64)),1,0)+IF(AND(ISNUMBER(D66),ISNUMBER(E66)),1,0)+IF(AND(ISNUMBER(D67),ISNUMBER(E67)),1,0)</f>
        <v/>
      </c>
      <c r="V66">
        <f>IF(AND(ISNUMBER(D64),ISNUMBER(E64),E64&gt;D64),1,0)+IF(AND(ISNUMBER(D66),ISNUMBER(E66),E66&gt;D66),1,0)+IF(AND(ISNUMBER(D67),ISNUMBER(E67),E67&gt;D67),1,0)</f>
        <v/>
      </c>
      <c r="W66">
        <f>IF(AND(ISNUMBER(D64),ISNUMBER(E64),D64=E64),1,0)+IF(AND(ISNUMBER(D66),ISNUMBER(E66),D66=E66),1,0)+IF(AND(ISNUMBER(D67),ISNUMBER(E67),D67=E67),1,0)</f>
        <v/>
      </c>
      <c r="X66">
        <f>U66-V66-W66</f>
        <v/>
      </c>
      <c r="Y66">
        <f>IF(ISNUMBER(E64),E64,0)+IF(ISNUMBER(E66),E66,0)+IF(ISNUMBER(E67),E67,0)</f>
        <v/>
      </c>
      <c r="Z66">
        <f>IF(ISNUMBER(D64),D64,0)+IF(ISNUMBER(D66),D66,0)+IF(ISNUMBER(D67),D67,0)</f>
        <v/>
      </c>
      <c r="AA66">
        <f>Y66-Z66</f>
        <v/>
      </c>
      <c r="AB66">
        <f>V66*3+W66</f>
        <v/>
      </c>
      <c r="AC66">
        <f>AB66*1000000+(AA66+100)*1000+Y66*10+1</f>
        <v/>
      </c>
    </row>
    <row r="67" ht="15" customHeight="1">
      <c r="B67" s="9" t="inlineStr">
        <is>
          <t>Francia 🇫🇷</t>
        </is>
      </c>
      <c r="C67" s="10" t="inlineStr">
        <is>
          <t>G-I1-I4</t>
        </is>
      </c>
      <c r="D67" s="11" t="n">
        <v>3</v>
      </c>
      <c r="E67" s="11" t="n">
        <v>0</v>
      </c>
      <c r="F67" s="12" t="inlineStr">
        <is>
          <t>🇮🇶 Irak</t>
        </is>
      </c>
      <c r="G67" s="13" t="inlineStr">
        <is>
          <t>Grupo I · J3</t>
        </is>
      </c>
    </row>
    <row r="68" ht="15" customHeight="1">
      <c r="B68" s="9" t="inlineStr">
        <is>
          <t>Senegal 🇸🇳</t>
        </is>
      </c>
      <c r="C68" s="10" t="inlineStr">
        <is>
          <t>G-I2-I3</t>
        </is>
      </c>
      <c r="D68" s="11" t="n">
        <v>1</v>
      </c>
      <c r="E68" s="11" t="n">
        <v>2</v>
      </c>
      <c r="F68" s="12" t="inlineStr">
        <is>
          <t>🇳🇴 Noruega</t>
        </is>
      </c>
      <c r="G68" s="13" t="inlineStr">
        <is>
          <t>Grupo I · J3</t>
        </is>
      </c>
    </row>
    <row r="69" ht="18" customHeight="1">
      <c r="B69" s="18" t="inlineStr">
        <is>
          <t xml:space="preserve">  Grupo J</t>
        </is>
      </c>
      <c r="I69" s="8" t="inlineStr">
        <is>
          <t>Pos</t>
        </is>
      </c>
      <c r="J69" s="8" t="inlineStr">
        <is>
          <t>Equipo</t>
        </is>
      </c>
      <c r="K69" s="8" t="inlineStr">
        <is>
          <t>PJ</t>
        </is>
      </c>
      <c r="L69" s="8" t="inlineStr">
        <is>
          <t>G</t>
        </is>
      </c>
      <c r="M69" s="8" t="inlineStr">
        <is>
          <t>E</t>
        </is>
      </c>
      <c r="N69" s="8" t="inlineStr">
        <is>
          <t>P</t>
        </is>
      </c>
      <c r="O69" s="8" t="inlineStr">
        <is>
          <t>GF</t>
        </is>
      </c>
      <c r="P69" s="8" t="inlineStr">
        <is>
          <t>GA</t>
        </is>
      </c>
      <c r="Q69" s="8" t="inlineStr">
        <is>
          <t>DG</t>
        </is>
      </c>
      <c r="R69" s="8" t="inlineStr">
        <is>
          <t>Pts</t>
        </is>
      </c>
    </row>
    <row r="70" ht="15" customHeight="1">
      <c r="B70" s="9" t="inlineStr">
        <is>
          <t>Argentina 🇦🇷</t>
        </is>
      </c>
      <c r="C70" s="10" t="inlineStr">
        <is>
          <t>G-J1-J2</t>
        </is>
      </c>
      <c r="D70" s="11" t="n">
        <v>3</v>
      </c>
      <c r="E70" s="11" t="n">
        <v>0</v>
      </c>
      <c r="F70" s="12" t="inlineStr">
        <is>
          <t>🇩🇿 Argelia</t>
        </is>
      </c>
      <c r="G70" s="13" t="inlineStr">
        <is>
          <t>Grupo J · J1</t>
        </is>
      </c>
      <c r="I70" s="14" t="n">
        <v>1</v>
      </c>
      <c r="J70" s="15">
        <f>INDEX(T70:T73,MATCH(LARGE(AC70:AC73,1),AC70:AC73,0))</f>
        <v/>
      </c>
      <c r="K70" s="14">
        <f>INDEX(U70:U73,MATCH(LARGE(AC70:AC73,1),AC70:AC73,0))</f>
        <v/>
      </c>
      <c r="L70" s="14">
        <f>INDEX(V70:V73,MATCH(LARGE(AC70:AC73,1),AC70:AC73,0))</f>
        <v/>
      </c>
      <c r="M70" s="14">
        <f>INDEX(W70:W73,MATCH(LARGE(AC70:AC73,1),AC70:AC73,0))</f>
        <v/>
      </c>
      <c r="N70" s="14">
        <f>INDEX(X70:X73,MATCH(LARGE(AC70:AC73,1),AC70:AC73,0))</f>
        <v/>
      </c>
      <c r="O70" s="14">
        <f>INDEX(Y70:Y73,MATCH(LARGE(AC70:AC73,1),AC70:AC73,0))</f>
        <v/>
      </c>
      <c r="P70" s="14">
        <f>INDEX(Z70:Z73,MATCH(LARGE(AC70:AC73,1),AC70:AC73,0))</f>
        <v/>
      </c>
      <c r="Q70" s="14">
        <f>INDEX(AA70:AA73,MATCH(LARGE(AC70:AC73,1),AC70:AC73,0))</f>
        <v/>
      </c>
      <c r="R70" s="14">
        <f>INDEX(AB70:AB73,MATCH(LARGE(AC70:AC73,1),AC70:AC73,0))</f>
        <v/>
      </c>
      <c r="T70">
        <f>B70</f>
        <v/>
      </c>
      <c r="U70">
        <f>IF(AND(ISNUMBER(D70),ISNUMBER(E70)),1,0)+IF(AND(ISNUMBER(D72),ISNUMBER(E72)),1,0)+IF(AND(ISNUMBER(D74),ISNUMBER(E74)),1,0)</f>
        <v/>
      </c>
      <c r="V70">
        <f>IF(AND(ISNUMBER(D70),ISNUMBER(E70),D70&gt;E70),1,0)+IF(AND(ISNUMBER(D72),ISNUMBER(E72),D72&gt;E72),1,0)+IF(AND(ISNUMBER(D74),ISNUMBER(E74),D74&gt;E74),1,0)</f>
        <v/>
      </c>
      <c r="W70">
        <f>IF(AND(ISNUMBER(D70),ISNUMBER(E70),D70=E70),1,0)+IF(AND(ISNUMBER(D72),ISNUMBER(E72),D72=E72),1,0)+IF(AND(ISNUMBER(D74),ISNUMBER(E74),D74=E74),1,0)</f>
        <v/>
      </c>
      <c r="X70">
        <f>U70-V70-W70</f>
        <v/>
      </c>
      <c r="Y70">
        <f>IF(ISNUMBER(D70),D70,0)+IF(ISNUMBER(D72),D72,0)+IF(ISNUMBER(D74),D74,0)</f>
        <v/>
      </c>
      <c r="Z70">
        <f>IF(ISNUMBER(E70),E70,0)+IF(ISNUMBER(E72),E72,0)+IF(ISNUMBER(E74),E74,0)</f>
        <v/>
      </c>
      <c r="AA70">
        <f>Y70-Z70</f>
        <v/>
      </c>
      <c r="AB70">
        <f>V70*3+W70</f>
        <v/>
      </c>
      <c r="AC70">
        <f>AB70*1000000+(AA70+100)*1000+Y70*10+4</f>
        <v/>
      </c>
    </row>
    <row r="71" ht="15" customHeight="1">
      <c r="B71" s="9" t="inlineStr">
        <is>
          <t>Austria 🇦🇹</t>
        </is>
      </c>
      <c r="C71" s="10" t="inlineStr">
        <is>
          <t>G-J3-J4</t>
        </is>
      </c>
      <c r="D71" s="11" t="n">
        <v>2</v>
      </c>
      <c r="E71" s="11" t="n">
        <v>1</v>
      </c>
      <c r="F71" s="12" t="inlineStr">
        <is>
          <t>🇯🇴 Jordania</t>
        </is>
      </c>
      <c r="G71" s="13" t="inlineStr">
        <is>
          <t>Grupo J · J1</t>
        </is>
      </c>
      <c r="I71" s="14" t="n">
        <v>2</v>
      </c>
      <c r="J71" s="15">
        <f>INDEX(T70:T73,MATCH(LARGE(AC70:AC73,2),AC70:AC73,0))</f>
        <v/>
      </c>
      <c r="K71" s="14">
        <f>INDEX(U70:U73,MATCH(LARGE(AC70:AC73,2),AC70:AC73,0))</f>
        <v/>
      </c>
      <c r="L71" s="14">
        <f>INDEX(V70:V73,MATCH(LARGE(AC70:AC73,2),AC70:AC73,0))</f>
        <v/>
      </c>
      <c r="M71" s="14">
        <f>INDEX(W70:W73,MATCH(LARGE(AC70:AC73,2),AC70:AC73,0))</f>
        <v/>
      </c>
      <c r="N71" s="14">
        <f>INDEX(X70:X73,MATCH(LARGE(AC70:AC73,2),AC70:AC73,0))</f>
        <v/>
      </c>
      <c r="O71" s="14">
        <f>INDEX(Y70:Y73,MATCH(LARGE(AC70:AC73,2),AC70:AC73,0))</f>
        <v/>
      </c>
      <c r="P71" s="14">
        <f>INDEX(Z70:Z73,MATCH(LARGE(AC70:AC73,2),AC70:AC73,0))</f>
        <v/>
      </c>
      <c r="Q71" s="14">
        <f>INDEX(AA70:AA73,MATCH(LARGE(AC70:AC73,2),AC70:AC73,0))</f>
        <v/>
      </c>
      <c r="R71" s="14">
        <f>INDEX(AB70:AB73,MATCH(LARGE(AC70:AC73,2),AC70:AC73,0))</f>
        <v/>
      </c>
      <c r="T71">
        <f>F70</f>
        <v/>
      </c>
      <c r="U71">
        <f>IF(AND(ISNUMBER(D73),ISNUMBER(E73)),1,0)+IF(AND(ISNUMBER(D75),ISNUMBER(E75)),1,0)+IF(AND(ISNUMBER(D70),ISNUMBER(E70)),1,0)</f>
        <v/>
      </c>
      <c r="V71">
        <f>IF(AND(ISNUMBER(D73),ISNUMBER(E73),D73&gt;E73),1,0)+IF(AND(ISNUMBER(D75),ISNUMBER(E75),D75&gt;E75),1,0)+IF(AND(ISNUMBER(D70),ISNUMBER(E70),E70&gt;D70),1,0)</f>
        <v/>
      </c>
      <c r="W71">
        <f>IF(AND(ISNUMBER(D73),ISNUMBER(E73),D73=E73),1,0)+IF(AND(ISNUMBER(D75),ISNUMBER(E75),D75=E75),1,0)+IF(AND(ISNUMBER(D70),ISNUMBER(E70),D70=E70),1,0)</f>
        <v/>
      </c>
      <c r="X71">
        <f>U71-V71-W71</f>
        <v/>
      </c>
      <c r="Y71">
        <f>IF(ISNUMBER(D73),D73,0)+IF(ISNUMBER(D75),D75,0)+IF(ISNUMBER(E70),E70,0)</f>
        <v/>
      </c>
      <c r="Z71">
        <f>IF(ISNUMBER(E73),E73,0)+IF(ISNUMBER(E75),E75,0)+IF(ISNUMBER(D70),D70,0)</f>
        <v/>
      </c>
      <c r="AA71">
        <f>Y71-Z71</f>
        <v/>
      </c>
      <c r="AB71">
        <f>V71*3+W71</f>
        <v/>
      </c>
      <c r="AC71">
        <f>AB71*1000000+(AA71+100)*1000+Y71*10+3</f>
        <v/>
      </c>
    </row>
    <row r="72" ht="15" customHeight="1">
      <c r="B72" s="9" t="inlineStr">
        <is>
          <t>Argentina 🇦🇷</t>
        </is>
      </c>
      <c r="C72" s="10" t="inlineStr">
        <is>
          <t>G-J1-J3</t>
        </is>
      </c>
      <c r="D72" s="11" t="n">
        <v>1</v>
      </c>
      <c r="E72" s="11" t="n">
        <v>1</v>
      </c>
      <c r="F72" s="12" t="inlineStr">
        <is>
          <t>🇦🇹 Austria</t>
        </is>
      </c>
      <c r="G72" s="13" t="inlineStr">
        <is>
          <t>Grupo J · J2</t>
        </is>
      </c>
      <c r="I72" s="16" t="n">
        <v>3</v>
      </c>
      <c r="J72" s="17">
        <f>INDEX(T70:T73,MATCH(LARGE(AC70:AC73,3),AC70:AC73,0))</f>
        <v/>
      </c>
      <c r="K72" s="16">
        <f>INDEX(U70:U73,MATCH(LARGE(AC70:AC73,3),AC70:AC73,0))</f>
        <v/>
      </c>
      <c r="L72" s="16">
        <f>INDEX(V70:V73,MATCH(LARGE(AC70:AC73,3),AC70:AC73,0))</f>
        <v/>
      </c>
      <c r="M72" s="16">
        <f>INDEX(W70:W73,MATCH(LARGE(AC70:AC73,3),AC70:AC73,0))</f>
        <v/>
      </c>
      <c r="N72" s="16">
        <f>INDEX(X70:X73,MATCH(LARGE(AC70:AC73,3),AC70:AC73,0))</f>
        <v/>
      </c>
      <c r="O72" s="16">
        <f>INDEX(Y70:Y73,MATCH(LARGE(AC70:AC73,3),AC70:AC73,0))</f>
        <v/>
      </c>
      <c r="P72" s="16">
        <f>INDEX(Z70:Z73,MATCH(LARGE(AC70:AC73,3),AC70:AC73,0))</f>
        <v/>
      </c>
      <c r="Q72" s="16">
        <f>INDEX(AA70:AA73,MATCH(LARGE(AC70:AC73,3),AC70:AC73,0))</f>
        <v/>
      </c>
      <c r="R72" s="16">
        <f>INDEX(AB70:AB73,MATCH(LARGE(AC70:AC73,3),AC70:AC73,0))</f>
        <v/>
      </c>
      <c r="T72">
        <f>B71</f>
        <v/>
      </c>
      <c r="U72">
        <f>IF(AND(ISNUMBER(D71),ISNUMBER(E71)),1,0)+IF(AND(ISNUMBER(D72),ISNUMBER(E72)),1,0)+IF(AND(ISNUMBER(D75),ISNUMBER(E75)),1,0)</f>
        <v/>
      </c>
      <c r="V72">
        <f>IF(AND(ISNUMBER(D71),ISNUMBER(E71),D71&gt;E71),1,0)+IF(AND(ISNUMBER(D72),ISNUMBER(E72),E72&gt;D72),1,0)+IF(AND(ISNUMBER(D75),ISNUMBER(E75),E75&gt;D75),1,0)</f>
        <v/>
      </c>
      <c r="W72">
        <f>IF(AND(ISNUMBER(D71),ISNUMBER(E71),D71=E71),1,0)+IF(AND(ISNUMBER(D72),ISNUMBER(E72),D72=E72),1,0)+IF(AND(ISNUMBER(D75),ISNUMBER(E75),D75=E75),1,0)</f>
        <v/>
      </c>
      <c r="X72">
        <f>U72-V72-W72</f>
        <v/>
      </c>
      <c r="Y72">
        <f>IF(ISNUMBER(D71),D71,0)+IF(ISNUMBER(E72),E72,0)+IF(ISNUMBER(E75),E75,0)</f>
        <v/>
      </c>
      <c r="Z72">
        <f>IF(ISNUMBER(E71),E71,0)+IF(ISNUMBER(D72),D72,0)+IF(ISNUMBER(D75),D75,0)</f>
        <v/>
      </c>
      <c r="AA72">
        <f>Y72-Z72</f>
        <v/>
      </c>
      <c r="AB72">
        <f>V72*3+W72</f>
        <v/>
      </c>
      <c r="AC72">
        <f>AB72*1000000+(AA72+100)*1000+Y72*10+2</f>
        <v/>
      </c>
    </row>
    <row r="73" ht="15" customHeight="1">
      <c r="B73" s="9" t="inlineStr">
        <is>
          <t>Argelia 🇩🇿</t>
        </is>
      </c>
      <c r="C73" s="10" t="inlineStr">
        <is>
          <t>G-J2-J4</t>
        </is>
      </c>
      <c r="D73" s="11" t="n">
        <v>2</v>
      </c>
      <c r="E73" s="11" t="n">
        <v>0</v>
      </c>
      <c r="F73" s="12" t="inlineStr">
        <is>
          <t>🇯🇴 Jordania</t>
        </is>
      </c>
      <c r="G73" s="13" t="inlineStr">
        <is>
          <t>Grupo J · J2</t>
        </is>
      </c>
      <c r="I73" s="16" t="n">
        <v>4</v>
      </c>
      <c r="J73" s="17">
        <f>INDEX(T70:T73,MATCH(LARGE(AC70:AC73,4),AC70:AC73,0))</f>
        <v/>
      </c>
      <c r="K73" s="16">
        <f>INDEX(U70:U73,MATCH(LARGE(AC70:AC73,4),AC70:AC73,0))</f>
        <v/>
      </c>
      <c r="L73" s="16">
        <f>INDEX(V70:V73,MATCH(LARGE(AC70:AC73,4),AC70:AC73,0))</f>
        <v/>
      </c>
      <c r="M73" s="16">
        <f>INDEX(W70:W73,MATCH(LARGE(AC70:AC73,4),AC70:AC73,0))</f>
        <v/>
      </c>
      <c r="N73" s="16">
        <f>INDEX(X70:X73,MATCH(LARGE(AC70:AC73,4),AC70:AC73,0))</f>
        <v/>
      </c>
      <c r="O73" s="16">
        <f>INDEX(Y70:Y73,MATCH(LARGE(AC70:AC73,4),AC70:AC73,0))</f>
        <v/>
      </c>
      <c r="P73" s="16">
        <f>INDEX(Z70:Z73,MATCH(LARGE(AC70:AC73,4),AC70:AC73,0))</f>
        <v/>
      </c>
      <c r="Q73" s="16">
        <f>INDEX(AA70:AA73,MATCH(LARGE(AC70:AC73,4),AC70:AC73,0))</f>
        <v/>
      </c>
      <c r="R73" s="16">
        <f>INDEX(AB70:AB73,MATCH(LARGE(AC70:AC73,4),AC70:AC73,0))</f>
        <v/>
      </c>
      <c r="T73">
        <f>F71</f>
        <v/>
      </c>
      <c r="U73">
        <f>IF(AND(ISNUMBER(D71),ISNUMBER(E71)),1,0)+IF(AND(ISNUMBER(D73),ISNUMBER(E73)),1,0)+IF(AND(ISNUMBER(D74),ISNUMBER(E74)),1,0)</f>
        <v/>
      </c>
      <c r="V73">
        <f>IF(AND(ISNUMBER(D71),ISNUMBER(E71),E71&gt;D71),1,0)+IF(AND(ISNUMBER(D73),ISNUMBER(E73),E73&gt;D73),1,0)+IF(AND(ISNUMBER(D74),ISNUMBER(E74),E74&gt;D74),1,0)</f>
        <v/>
      </c>
      <c r="W73">
        <f>IF(AND(ISNUMBER(D71),ISNUMBER(E71),D71=E71),1,0)+IF(AND(ISNUMBER(D73),ISNUMBER(E73),D73=E73),1,0)+IF(AND(ISNUMBER(D74),ISNUMBER(E74),D74=E74),1,0)</f>
        <v/>
      </c>
      <c r="X73">
        <f>U73-V73-W73</f>
        <v/>
      </c>
      <c r="Y73">
        <f>IF(ISNUMBER(E71),E71,0)+IF(ISNUMBER(E73),E73,0)+IF(ISNUMBER(E74),E74,0)</f>
        <v/>
      </c>
      <c r="Z73">
        <f>IF(ISNUMBER(D71),D71,0)+IF(ISNUMBER(D73),D73,0)+IF(ISNUMBER(D74),D74,0)</f>
        <v/>
      </c>
      <c r="AA73">
        <f>Y73-Z73</f>
        <v/>
      </c>
      <c r="AB73">
        <f>V73*3+W73</f>
        <v/>
      </c>
      <c r="AC73">
        <f>AB73*1000000+(AA73+100)*1000+Y73*10+1</f>
        <v/>
      </c>
    </row>
    <row r="74" ht="15" customHeight="1">
      <c r="B74" s="9" t="inlineStr">
        <is>
          <t>Argentina 🇦🇷</t>
        </is>
      </c>
      <c r="C74" s="10" t="inlineStr">
        <is>
          <t>G-J1-J4</t>
        </is>
      </c>
      <c r="D74" s="11" t="n">
        <v>4</v>
      </c>
      <c r="E74" s="11" t="n">
        <v>0</v>
      </c>
      <c r="F74" s="12" t="inlineStr">
        <is>
          <t>🇯🇴 Jordania</t>
        </is>
      </c>
      <c r="G74" s="13" t="inlineStr">
        <is>
          <t>Grupo J · J3</t>
        </is>
      </c>
    </row>
    <row r="75" ht="15" customHeight="1">
      <c r="B75" s="9" t="inlineStr">
        <is>
          <t>Argelia 🇩🇿</t>
        </is>
      </c>
      <c r="C75" s="10" t="inlineStr">
        <is>
          <t>G-J2-J3</t>
        </is>
      </c>
      <c r="D75" s="11" t="n">
        <v>1</v>
      </c>
      <c r="E75" s="11" t="n">
        <v>2</v>
      </c>
      <c r="F75" s="12" t="inlineStr">
        <is>
          <t>🇦🇹 Austria</t>
        </is>
      </c>
      <c r="G75" s="13" t="inlineStr">
        <is>
          <t>Grupo J · J3</t>
        </is>
      </c>
    </row>
    <row r="76" ht="18" customHeight="1">
      <c r="B76" s="18" t="inlineStr">
        <is>
          <t xml:space="preserve">  Grupo K</t>
        </is>
      </c>
      <c r="I76" s="8" t="inlineStr">
        <is>
          <t>Pos</t>
        </is>
      </c>
      <c r="J76" s="8" t="inlineStr">
        <is>
          <t>Equipo</t>
        </is>
      </c>
      <c r="K76" s="8" t="inlineStr">
        <is>
          <t>PJ</t>
        </is>
      </c>
      <c r="L76" s="8" t="inlineStr">
        <is>
          <t>G</t>
        </is>
      </c>
      <c r="M76" s="8" t="inlineStr">
        <is>
          <t>E</t>
        </is>
      </c>
      <c r="N76" s="8" t="inlineStr">
        <is>
          <t>P</t>
        </is>
      </c>
      <c r="O76" s="8" t="inlineStr">
        <is>
          <t>GF</t>
        </is>
      </c>
      <c r="P76" s="8" t="inlineStr">
        <is>
          <t>GA</t>
        </is>
      </c>
      <c r="Q76" s="8" t="inlineStr">
        <is>
          <t>DG</t>
        </is>
      </c>
      <c r="R76" s="8" t="inlineStr">
        <is>
          <t>Pts</t>
        </is>
      </c>
    </row>
    <row r="77" ht="15" customHeight="1">
      <c r="B77" s="9" t="inlineStr">
        <is>
          <t>Portugal 🇵🇹</t>
        </is>
      </c>
      <c r="C77" s="10" t="inlineStr">
        <is>
          <t>G-K1-K2</t>
        </is>
      </c>
      <c r="D77" s="11" t="n">
        <v>2</v>
      </c>
      <c r="E77" s="11" t="n">
        <v>1</v>
      </c>
      <c r="F77" s="12" t="inlineStr">
        <is>
          <t>🇨🇴 Colombia</t>
        </is>
      </c>
      <c r="G77" s="13" t="inlineStr">
        <is>
          <t>Grupo K · J1</t>
        </is>
      </c>
      <c r="I77" s="14" t="n">
        <v>1</v>
      </c>
      <c r="J77" s="15">
        <f>INDEX(T77:T80,MATCH(LARGE(AC77:AC80,1),AC77:AC80,0))</f>
        <v/>
      </c>
      <c r="K77" s="14">
        <f>INDEX(U77:U80,MATCH(LARGE(AC77:AC80,1),AC77:AC80,0))</f>
        <v/>
      </c>
      <c r="L77" s="14">
        <f>INDEX(V77:V80,MATCH(LARGE(AC77:AC80,1),AC77:AC80,0))</f>
        <v/>
      </c>
      <c r="M77" s="14">
        <f>INDEX(W77:W80,MATCH(LARGE(AC77:AC80,1),AC77:AC80,0))</f>
        <v/>
      </c>
      <c r="N77" s="14">
        <f>INDEX(X77:X80,MATCH(LARGE(AC77:AC80,1),AC77:AC80,0))</f>
        <v/>
      </c>
      <c r="O77" s="14">
        <f>INDEX(Y77:Y80,MATCH(LARGE(AC77:AC80,1),AC77:AC80,0))</f>
        <v/>
      </c>
      <c r="P77" s="14">
        <f>INDEX(Z77:Z80,MATCH(LARGE(AC77:AC80,1),AC77:AC80,0))</f>
        <v/>
      </c>
      <c r="Q77" s="14">
        <f>INDEX(AA77:AA80,MATCH(LARGE(AC77:AC80,1),AC77:AC80,0))</f>
        <v/>
      </c>
      <c r="R77" s="14">
        <f>INDEX(AB77:AB80,MATCH(LARGE(AC77:AC80,1),AC77:AC80,0))</f>
        <v/>
      </c>
      <c r="T77">
        <f>B77</f>
        <v/>
      </c>
      <c r="U77">
        <f>IF(AND(ISNUMBER(D77),ISNUMBER(E77)),1,0)+IF(AND(ISNUMBER(D79),ISNUMBER(E79)),1,0)+IF(AND(ISNUMBER(D81),ISNUMBER(E81)),1,0)</f>
        <v/>
      </c>
      <c r="V77">
        <f>IF(AND(ISNUMBER(D77),ISNUMBER(E77),D77&gt;E77),1,0)+IF(AND(ISNUMBER(D79),ISNUMBER(E79),D79&gt;E79),1,0)+IF(AND(ISNUMBER(D81),ISNUMBER(E81),D81&gt;E81),1,0)</f>
        <v/>
      </c>
      <c r="W77">
        <f>IF(AND(ISNUMBER(D77),ISNUMBER(E77),D77=E77),1,0)+IF(AND(ISNUMBER(D79),ISNUMBER(E79),D79=E79),1,0)+IF(AND(ISNUMBER(D81),ISNUMBER(E81),D81=E81),1,0)</f>
        <v/>
      </c>
      <c r="X77">
        <f>U77-V77-W77</f>
        <v/>
      </c>
      <c r="Y77">
        <f>IF(ISNUMBER(D77),D77,0)+IF(ISNUMBER(D79),D79,0)+IF(ISNUMBER(D81),D81,0)</f>
        <v/>
      </c>
      <c r="Z77">
        <f>IF(ISNUMBER(E77),E77,0)+IF(ISNUMBER(E79),E79,0)+IF(ISNUMBER(E81),E81,0)</f>
        <v/>
      </c>
      <c r="AA77">
        <f>Y77-Z77</f>
        <v/>
      </c>
      <c r="AB77">
        <f>V77*3+W77</f>
        <v/>
      </c>
      <c r="AC77">
        <f>AB77*1000000+(AA77+100)*1000+Y77*10+4</f>
        <v/>
      </c>
    </row>
    <row r="78" ht="15" customHeight="1">
      <c r="B78" s="9" t="inlineStr">
        <is>
          <t>Uzbekistán 🇺🇿</t>
        </is>
      </c>
      <c r="C78" s="10" t="inlineStr">
        <is>
          <t>G-K3-K4</t>
        </is>
      </c>
      <c r="D78" s="11" t="n">
        <v>0</v>
      </c>
      <c r="E78" s="11" t="n">
        <v>0</v>
      </c>
      <c r="F78" s="12" t="inlineStr">
        <is>
          <t>🇨🇩 RD Congo</t>
        </is>
      </c>
      <c r="G78" s="13" t="inlineStr">
        <is>
          <t>Grupo K · J1</t>
        </is>
      </c>
      <c r="I78" s="14" t="n">
        <v>2</v>
      </c>
      <c r="J78" s="15">
        <f>INDEX(T77:T80,MATCH(LARGE(AC77:AC80,2),AC77:AC80,0))</f>
        <v/>
      </c>
      <c r="K78" s="14">
        <f>INDEX(U77:U80,MATCH(LARGE(AC77:AC80,2),AC77:AC80,0))</f>
        <v/>
      </c>
      <c r="L78" s="14">
        <f>INDEX(V77:V80,MATCH(LARGE(AC77:AC80,2),AC77:AC80,0))</f>
        <v/>
      </c>
      <c r="M78" s="14">
        <f>INDEX(W77:W80,MATCH(LARGE(AC77:AC80,2),AC77:AC80,0))</f>
        <v/>
      </c>
      <c r="N78" s="14">
        <f>INDEX(X77:X80,MATCH(LARGE(AC77:AC80,2),AC77:AC80,0))</f>
        <v/>
      </c>
      <c r="O78" s="14">
        <f>INDEX(Y77:Y80,MATCH(LARGE(AC77:AC80,2),AC77:AC80,0))</f>
        <v/>
      </c>
      <c r="P78" s="14">
        <f>INDEX(Z77:Z80,MATCH(LARGE(AC77:AC80,2),AC77:AC80,0))</f>
        <v/>
      </c>
      <c r="Q78" s="14">
        <f>INDEX(AA77:AA80,MATCH(LARGE(AC77:AC80,2),AC77:AC80,0))</f>
        <v/>
      </c>
      <c r="R78" s="14">
        <f>INDEX(AB77:AB80,MATCH(LARGE(AC77:AC80,2),AC77:AC80,0))</f>
        <v/>
      </c>
      <c r="T78">
        <f>F77</f>
        <v/>
      </c>
      <c r="U78">
        <f>IF(AND(ISNUMBER(D80),ISNUMBER(E80)),1,0)+IF(AND(ISNUMBER(D82),ISNUMBER(E82)),1,0)+IF(AND(ISNUMBER(D77),ISNUMBER(E77)),1,0)</f>
        <v/>
      </c>
      <c r="V78">
        <f>IF(AND(ISNUMBER(D80),ISNUMBER(E80),D80&gt;E80),1,0)+IF(AND(ISNUMBER(D82),ISNUMBER(E82),D82&gt;E82),1,0)+IF(AND(ISNUMBER(D77),ISNUMBER(E77),E77&gt;D77),1,0)</f>
        <v/>
      </c>
      <c r="W78">
        <f>IF(AND(ISNUMBER(D80),ISNUMBER(E80),D80=E80),1,0)+IF(AND(ISNUMBER(D82),ISNUMBER(E82),D82=E82),1,0)+IF(AND(ISNUMBER(D77),ISNUMBER(E77),D77=E77),1,0)</f>
        <v/>
      </c>
      <c r="X78">
        <f>U78-V78-W78</f>
        <v/>
      </c>
      <c r="Y78">
        <f>IF(ISNUMBER(D80),D80,0)+IF(ISNUMBER(D82),D82,0)+IF(ISNUMBER(E77),E77,0)</f>
        <v/>
      </c>
      <c r="Z78">
        <f>IF(ISNUMBER(E80),E80,0)+IF(ISNUMBER(E82),E82,0)+IF(ISNUMBER(D77),D77,0)</f>
        <v/>
      </c>
      <c r="AA78">
        <f>Y78-Z78</f>
        <v/>
      </c>
      <c r="AB78">
        <f>V78*3+W78</f>
        <v/>
      </c>
      <c r="AC78">
        <f>AB78*1000000+(AA78+100)*1000+Y78*10+3</f>
        <v/>
      </c>
    </row>
    <row r="79" ht="15" customHeight="1">
      <c r="B79" s="9" t="inlineStr">
        <is>
          <t>Portugal 🇵🇹</t>
        </is>
      </c>
      <c r="C79" s="10" t="inlineStr">
        <is>
          <t>G-K1-K3</t>
        </is>
      </c>
      <c r="D79" s="11" t="n">
        <v>3</v>
      </c>
      <c r="E79" s="11" t="n">
        <v>0</v>
      </c>
      <c r="F79" s="12" t="inlineStr">
        <is>
          <t>🇺🇿 Uzbekistán</t>
        </is>
      </c>
      <c r="G79" s="13" t="inlineStr">
        <is>
          <t>Grupo K · J2</t>
        </is>
      </c>
      <c r="I79" s="16" t="n">
        <v>3</v>
      </c>
      <c r="J79" s="17">
        <f>INDEX(T77:T80,MATCH(LARGE(AC77:AC80,3),AC77:AC80,0))</f>
        <v/>
      </c>
      <c r="K79" s="16">
        <f>INDEX(U77:U80,MATCH(LARGE(AC77:AC80,3),AC77:AC80,0))</f>
        <v/>
      </c>
      <c r="L79" s="16">
        <f>INDEX(V77:V80,MATCH(LARGE(AC77:AC80,3),AC77:AC80,0))</f>
        <v/>
      </c>
      <c r="M79" s="16">
        <f>INDEX(W77:W80,MATCH(LARGE(AC77:AC80,3),AC77:AC80,0))</f>
        <v/>
      </c>
      <c r="N79" s="16">
        <f>INDEX(X77:X80,MATCH(LARGE(AC77:AC80,3),AC77:AC80,0))</f>
        <v/>
      </c>
      <c r="O79" s="16">
        <f>INDEX(Y77:Y80,MATCH(LARGE(AC77:AC80,3),AC77:AC80,0))</f>
        <v/>
      </c>
      <c r="P79" s="16">
        <f>INDEX(Z77:Z80,MATCH(LARGE(AC77:AC80,3),AC77:AC80,0))</f>
        <v/>
      </c>
      <c r="Q79" s="16">
        <f>INDEX(AA77:AA80,MATCH(LARGE(AC77:AC80,3),AC77:AC80,0))</f>
        <v/>
      </c>
      <c r="R79" s="16">
        <f>INDEX(AB77:AB80,MATCH(LARGE(AC77:AC80,3),AC77:AC80,0))</f>
        <v/>
      </c>
      <c r="T79">
        <f>B78</f>
        <v/>
      </c>
      <c r="U79">
        <f>IF(AND(ISNUMBER(D78),ISNUMBER(E78)),1,0)+IF(AND(ISNUMBER(D79),ISNUMBER(E79)),1,0)+IF(AND(ISNUMBER(D82),ISNUMBER(E82)),1,0)</f>
        <v/>
      </c>
      <c r="V79">
        <f>IF(AND(ISNUMBER(D78),ISNUMBER(E78),D78&gt;E78),1,0)+IF(AND(ISNUMBER(D79),ISNUMBER(E79),E79&gt;D79),1,0)+IF(AND(ISNUMBER(D82),ISNUMBER(E82),E82&gt;D82),1,0)</f>
        <v/>
      </c>
      <c r="W79">
        <f>IF(AND(ISNUMBER(D78),ISNUMBER(E78),D78=E78),1,0)+IF(AND(ISNUMBER(D79),ISNUMBER(E79),D79=E79),1,0)+IF(AND(ISNUMBER(D82),ISNUMBER(E82),D82=E82),1,0)</f>
        <v/>
      </c>
      <c r="X79">
        <f>U79-V79-W79</f>
        <v/>
      </c>
      <c r="Y79">
        <f>IF(ISNUMBER(D78),D78,0)+IF(ISNUMBER(E79),E79,0)+IF(ISNUMBER(E82),E82,0)</f>
        <v/>
      </c>
      <c r="Z79">
        <f>IF(ISNUMBER(E78),E78,0)+IF(ISNUMBER(D79),D79,0)+IF(ISNUMBER(D82),D82,0)</f>
        <v/>
      </c>
      <c r="AA79">
        <f>Y79-Z79</f>
        <v/>
      </c>
      <c r="AB79">
        <f>V79*3+W79</f>
        <v/>
      </c>
      <c r="AC79">
        <f>AB79*1000000+(AA79+100)*1000+Y79*10+2</f>
        <v/>
      </c>
    </row>
    <row r="80" ht="15" customHeight="1">
      <c r="B80" s="9" t="inlineStr">
        <is>
          <t>Colombia 🇨🇴</t>
        </is>
      </c>
      <c r="C80" s="10" t="inlineStr">
        <is>
          <t>G-K2-K4</t>
        </is>
      </c>
      <c r="D80" s="11" t="n">
        <v>1</v>
      </c>
      <c r="E80" s="11" t="n">
        <v>0</v>
      </c>
      <c r="F80" s="12" t="inlineStr">
        <is>
          <t>🇨🇩 RD Congo</t>
        </is>
      </c>
      <c r="G80" s="13" t="inlineStr">
        <is>
          <t>Grupo K · J2</t>
        </is>
      </c>
      <c r="I80" s="16" t="n">
        <v>4</v>
      </c>
      <c r="J80" s="17">
        <f>INDEX(T77:T80,MATCH(LARGE(AC77:AC80,4),AC77:AC80,0))</f>
        <v/>
      </c>
      <c r="K80" s="16">
        <f>INDEX(U77:U80,MATCH(LARGE(AC77:AC80,4),AC77:AC80,0))</f>
        <v/>
      </c>
      <c r="L80" s="16">
        <f>INDEX(V77:V80,MATCH(LARGE(AC77:AC80,4),AC77:AC80,0))</f>
        <v/>
      </c>
      <c r="M80" s="16">
        <f>INDEX(W77:W80,MATCH(LARGE(AC77:AC80,4),AC77:AC80,0))</f>
        <v/>
      </c>
      <c r="N80" s="16">
        <f>INDEX(X77:X80,MATCH(LARGE(AC77:AC80,4),AC77:AC80,0))</f>
        <v/>
      </c>
      <c r="O80" s="16">
        <f>INDEX(Y77:Y80,MATCH(LARGE(AC77:AC80,4),AC77:AC80,0))</f>
        <v/>
      </c>
      <c r="P80" s="16">
        <f>INDEX(Z77:Z80,MATCH(LARGE(AC77:AC80,4),AC77:AC80,0))</f>
        <v/>
      </c>
      <c r="Q80" s="16">
        <f>INDEX(AA77:AA80,MATCH(LARGE(AC77:AC80,4),AC77:AC80,0))</f>
        <v/>
      </c>
      <c r="R80" s="16">
        <f>INDEX(AB77:AB80,MATCH(LARGE(AC77:AC80,4),AC77:AC80,0))</f>
        <v/>
      </c>
      <c r="T80">
        <f>F78</f>
        <v/>
      </c>
      <c r="U80">
        <f>IF(AND(ISNUMBER(D78),ISNUMBER(E78)),1,0)+IF(AND(ISNUMBER(D80),ISNUMBER(E80)),1,0)+IF(AND(ISNUMBER(D81),ISNUMBER(E81)),1,0)</f>
        <v/>
      </c>
      <c r="V80">
        <f>IF(AND(ISNUMBER(D78),ISNUMBER(E78),E78&gt;D78),1,0)+IF(AND(ISNUMBER(D80),ISNUMBER(E80),E80&gt;D80),1,0)+IF(AND(ISNUMBER(D81),ISNUMBER(E81),E81&gt;D81),1,0)</f>
        <v/>
      </c>
      <c r="W80">
        <f>IF(AND(ISNUMBER(D78),ISNUMBER(E78),D78=E78),1,0)+IF(AND(ISNUMBER(D80),ISNUMBER(E80),D80=E80),1,0)+IF(AND(ISNUMBER(D81),ISNUMBER(E81),D81=E81),1,0)</f>
        <v/>
      </c>
      <c r="X80">
        <f>U80-V80-W80</f>
        <v/>
      </c>
      <c r="Y80">
        <f>IF(ISNUMBER(E78),E78,0)+IF(ISNUMBER(E80),E80,0)+IF(ISNUMBER(E81),E81,0)</f>
        <v/>
      </c>
      <c r="Z80">
        <f>IF(ISNUMBER(D78),D78,0)+IF(ISNUMBER(D80),D80,0)+IF(ISNUMBER(D81),D81,0)</f>
        <v/>
      </c>
      <c r="AA80">
        <f>Y80-Z80</f>
        <v/>
      </c>
      <c r="AB80">
        <f>V80*3+W80</f>
        <v/>
      </c>
      <c r="AC80">
        <f>AB80*1000000+(AA80+100)*1000+Y80*10+1</f>
        <v/>
      </c>
    </row>
    <row r="81" ht="15" customHeight="1">
      <c r="B81" s="9" t="inlineStr">
        <is>
          <t>Portugal 🇵🇹</t>
        </is>
      </c>
      <c r="C81" s="10" t="inlineStr">
        <is>
          <t>G-K1-K4</t>
        </is>
      </c>
      <c r="D81" s="11" t="n">
        <v>2</v>
      </c>
      <c r="E81" s="11" t="n">
        <v>0</v>
      </c>
      <c r="F81" s="12" t="inlineStr">
        <is>
          <t>🇨🇩 RD Congo</t>
        </is>
      </c>
      <c r="G81" s="13" t="inlineStr">
        <is>
          <t>Grupo K · J3</t>
        </is>
      </c>
    </row>
    <row r="82" ht="15" customHeight="1">
      <c r="B82" s="9" t="inlineStr">
        <is>
          <t>Colombia 🇨🇴</t>
        </is>
      </c>
      <c r="C82" s="10" t="inlineStr">
        <is>
          <t>G-K2-K3</t>
        </is>
      </c>
      <c r="D82" s="11" t="n">
        <v>0</v>
      </c>
      <c r="E82" s="11" t="n">
        <v>0</v>
      </c>
      <c r="F82" s="12" t="inlineStr">
        <is>
          <t>🇺🇿 Uzbekistán</t>
        </is>
      </c>
      <c r="G82" s="13" t="inlineStr">
        <is>
          <t>Grupo K · J3</t>
        </is>
      </c>
    </row>
    <row r="83" ht="18" customHeight="1">
      <c r="B83" s="18" t="inlineStr">
        <is>
          <t xml:space="preserve">  Grupo L</t>
        </is>
      </c>
      <c r="I83" s="8" t="inlineStr">
        <is>
          <t>Pos</t>
        </is>
      </c>
      <c r="J83" s="8" t="inlineStr">
        <is>
          <t>Equipo</t>
        </is>
      </c>
      <c r="K83" s="8" t="inlineStr">
        <is>
          <t>PJ</t>
        </is>
      </c>
      <c r="L83" s="8" t="inlineStr">
        <is>
          <t>G</t>
        </is>
      </c>
      <c r="M83" s="8" t="inlineStr">
        <is>
          <t>E</t>
        </is>
      </c>
      <c r="N83" s="8" t="inlineStr">
        <is>
          <t>P</t>
        </is>
      </c>
      <c r="O83" s="8" t="inlineStr">
        <is>
          <t>GF</t>
        </is>
      </c>
      <c r="P83" s="8" t="inlineStr">
        <is>
          <t>GA</t>
        </is>
      </c>
      <c r="Q83" s="8" t="inlineStr">
        <is>
          <t>DG</t>
        </is>
      </c>
      <c r="R83" s="8" t="inlineStr">
        <is>
          <t>Pts</t>
        </is>
      </c>
    </row>
    <row r="84" ht="15" customHeight="1">
      <c r="B84" s="9" t="inlineStr">
        <is>
          <t>Inglaterra 🏴󠁧󠁢󠁥󠁮󠁧󠁿</t>
        </is>
      </c>
      <c r="C84" s="10" t="inlineStr">
        <is>
          <t>G-L1-L2</t>
        </is>
      </c>
      <c r="D84" s="11" t="n">
        <v>0</v>
      </c>
      <c r="E84" s="11" t="n">
        <v>0</v>
      </c>
      <c r="F84" s="12" t="inlineStr">
        <is>
          <t>🇭🇷 Croacia</t>
        </is>
      </c>
      <c r="G84" s="13" t="inlineStr">
        <is>
          <t>Grupo L · J1</t>
        </is>
      </c>
      <c r="I84" s="14" t="n">
        <v>1</v>
      </c>
      <c r="J84" s="15">
        <f>INDEX(T84:T87,MATCH(LARGE(AC84:AC87,1),AC84:AC87,0))</f>
        <v/>
      </c>
      <c r="K84" s="14">
        <f>INDEX(U84:U87,MATCH(LARGE(AC84:AC87,1),AC84:AC87,0))</f>
        <v/>
      </c>
      <c r="L84" s="14">
        <f>INDEX(V84:V87,MATCH(LARGE(AC84:AC87,1),AC84:AC87,0))</f>
        <v/>
      </c>
      <c r="M84" s="14">
        <f>INDEX(W84:W87,MATCH(LARGE(AC84:AC87,1),AC84:AC87,0))</f>
        <v/>
      </c>
      <c r="N84" s="14">
        <f>INDEX(X84:X87,MATCH(LARGE(AC84:AC87,1),AC84:AC87,0))</f>
        <v/>
      </c>
      <c r="O84" s="14">
        <f>INDEX(Y84:Y87,MATCH(LARGE(AC84:AC87,1),AC84:AC87,0))</f>
        <v/>
      </c>
      <c r="P84" s="14">
        <f>INDEX(Z84:Z87,MATCH(LARGE(AC84:AC87,1),AC84:AC87,0))</f>
        <v/>
      </c>
      <c r="Q84" s="14">
        <f>INDEX(AA84:AA87,MATCH(LARGE(AC84:AC87,1),AC84:AC87,0))</f>
        <v/>
      </c>
      <c r="R84" s="14">
        <f>INDEX(AB84:AB87,MATCH(LARGE(AC84:AC87,1),AC84:AC87,0))</f>
        <v/>
      </c>
      <c r="T84">
        <f>B84</f>
        <v/>
      </c>
      <c r="U84">
        <f>IF(AND(ISNUMBER(D84),ISNUMBER(E84)),1,0)+IF(AND(ISNUMBER(D86),ISNUMBER(E86)),1,0)+IF(AND(ISNUMBER(D88),ISNUMBER(E88)),1,0)</f>
        <v/>
      </c>
      <c r="V84">
        <f>IF(AND(ISNUMBER(D84),ISNUMBER(E84),D84&gt;E84),1,0)+IF(AND(ISNUMBER(D86),ISNUMBER(E86),D86&gt;E86),1,0)+IF(AND(ISNUMBER(D88),ISNUMBER(E88),D88&gt;E88),1,0)</f>
        <v/>
      </c>
      <c r="W84">
        <f>IF(AND(ISNUMBER(D84),ISNUMBER(E84),D84=E84),1,0)+IF(AND(ISNUMBER(D86),ISNUMBER(E86),D86=E86),1,0)+IF(AND(ISNUMBER(D88),ISNUMBER(E88),D88=E88),1,0)</f>
        <v/>
      </c>
      <c r="X84">
        <f>U84-V84-W84</f>
        <v/>
      </c>
      <c r="Y84">
        <f>IF(ISNUMBER(D84),D84,0)+IF(ISNUMBER(D86),D86,0)+IF(ISNUMBER(D88),D88,0)</f>
        <v/>
      </c>
      <c r="Z84">
        <f>IF(ISNUMBER(E84),E84,0)+IF(ISNUMBER(E86),E86,0)+IF(ISNUMBER(E88),E88,0)</f>
        <v/>
      </c>
      <c r="AA84">
        <f>Y84-Z84</f>
        <v/>
      </c>
      <c r="AB84">
        <f>V84*3+W84</f>
        <v/>
      </c>
      <c r="AC84">
        <f>AB84*1000000+(AA84+100)*1000+Y84*10+4</f>
        <v/>
      </c>
    </row>
    <row r="85" ht="15" customHeight="1">
      <c r="B85" s="9" t="inlineStr">
        <is>
          <t>Ghana 🇬🇭</t>
        </is>
      </c>
      <c r="C85" s="10" t="inlineStr">
        <is>
          <t>G-L3-L4</t>
        </is>
      </c>
      <c r="D85" s="11" t="n">
        <v>2</v>
      </c>
      <c r="E85" s="11" t="n">
        <v>1</v>
      </c>
      <c r="F85" s="12" t="inlineStr">
        <is>
          <t>🇵🇦 Panamá</t>
        </is>
      </c>
      <c r="G85" s="13" t="inlineStr">
        <is>
          <t>Grupo L · J1</t>
        </is>
      </c>
      <c r="I85" s="14" t="n">
        <v>2</v>
      </c>
      <c r="J85" s="15">
        <f>INDEX(T84:T87,MATCH(LARGE(AC84:AC87,2),AC84:AC87,0))</f>
        <v/>
      </c>
      <c r="K85" s="14">
        <f>INDEX(U84:U87,MATCH(LARGE(AC84:AC87,2),AC84:AC87,0))</f>
        <v/>
      </c>
      <c r="L85" s="14">
        <f>INDEX(V84:V87,MATCH(LARGE(AC84:AC87,2),AC84:AC87,0))</f>
        <v/>
      </c>
      <c r="M85" s="14">
        <f>INDEX(W84:W87,MATCH(LARGE(AC84:AC87,2),AC84:AC87,0))</f>
        <v/>
      </c>
      <c r="N85" s="14">
        <f>INDEX(X84:X87,MATCH(LARGE(AC84:AC87,2),AC84:AC87,0))</f>
        <v/>
      </c>
      <c r="O85" s="14">
        <f>INDEX(Y84:Y87,MATCH(LARGE(AC84:AC87,2),AC84:AC87,0))</f>
        <v/>
      </c>
      <c r="P85" s="14">
        <f>INDEX(Z84:Z87,MATCH(LARGE(AC84:AC87,2),AC84:AC87,0))</f>
        <v/>
      </c>
      <c r="Q85" s="14">
        <f>INDEX(AA84:AA87,MATCH(LARGE(AC84:AC87,2),AC84:AC87,0))</f>
        <v/>
      </c>
      <c r="R85" s="14">
        <f>INDEX(AB84:AB87,MATCH(LARGE(AC84:AC87,2),AC84:AC87,0))</f>
        <v/>
      </c>
      <c r="T85">
        <f>F84</f>
        <v/>
      </c>
      <c r="U85">
        <f>IF(AND(ISNUMBER(D87),ISNUMBER(E87)),1,0)+IF(AND(ISNUMBER(D89),ISNUMBER(E89)),1,0)+IF(AND(ISNUMBER(D84),ISNUMBER(E84)),1,0)</f>
        <v/>
      </c>
      <c r="V85">
        <f>IF(AND(ISNUMBER(D87),ISNUMBER(E87),D87&gt;E87),1,0)+IF(AND(ISNUMBER(D89),ISNUMBER(E89),D89&gt;E89),1,0)+IF(AND(ISNUMBER(D84),ISNUMBER(E84),E84&gt;D84),1,0)</f>
        <v/>
      </c>
      <c r="W85">
        <f>IF(AND(ISNUMBER(D87),ISNUMBER(E87),D87=E87),1,0)+IF(AND(ISNUMBER(D89),ISNUMBER(E89),D89=E89),1,0)+IF(AND(ISNUMBER(D84),ISNUMBER(E84),D84=E84),1,0)</f>
        <v/>
      </c>
      <c r="X85">
        <f>U85-V85-W85</f>
        <v/>
      </c>
      <c r="Y85">
        <f>IF(ISNUMBER(D87),D87,0)+IF(ISNUMBER(D89),D89,0)+IF(ISNUMBER(E84),E84,0)</f>
        <v/>
      </c>
      <c r="Z85">
        <f>IF(ISNUMBER(E87),E87,0)+IF(ISNUMBER(E89),E89,0)+IF(ISNUMBER(D84),D84,0)</f>
        <v/>
      </c>
      <c r="AA85">
        <f>Y85-Z85</f>
        <v/>
      </c>
      <c r="AB85">
        <f>V85*3+W85</f>
        <v/>
      </c>
      <c r="AC85">
        <f>AB85*1000000+(AA85+100)*1000+Y85*10+3</f>
        <v/>
      </c>
    </row>
    <row r="86" ht="15" customHeight="1">
      <c r="B86" s="9" t="inlineStr">
        <is>
          <t>Inglaterra 🏴󠁧󠁢󠁥󠁮󠁧󠁿</t>
        </is>
      </c>
      <c r="C86" s="10" t="inlineStr">
        <is>
          <t>G-L1-L3</t>
        </is>
      </c>
      <c r="D86" s="11" t="n">
        <v>1</v>
      </c>
      <c r="E86" s="11" t="n">
        <v>0</v>
      </c>
      <c r="F86" s="12" t="inlineStr">
        <is>
          <t>🇬🇭 Ghana</t>
        </is>
      </c>
      <c r="G86" s="13" t="inlineStr">
        <is>
          <t>Grupo L · J2</t>
        </is>
      </c>
      <c r="I86" s="16" t="n">
        <v>3</v>
      </c>
      <c r="J86" s="17">
        <f>INDEX(T84:T87,MATCH(LARGE(AC84:AC87,3),AC84:AC87,0))</f>
        <v/>
      </c>
      <c r="K86" s="16">
        <f>INDEX(U84:U87,MATCH(LARGE(AC84:AC87,3),AC84:AC87,0))</f>
        <v/>
      </c>
      <c r="L86" s="16">
        <f>INDEX(V84:V87,MATCH(LARGE(AC84:AC87,3),AC84:AC87,0))</f>
        <v/>
      </c>
      <c r="M86" s="16">
        <f>INDEX(W84:W87,MATCH(LARGE(AC84:AC87,3),AC84:AC87,0))</f>
        <v/>
      </c>
      <c r="N86" s="16">
        <f>INDEX(X84:X87,MATCH(LARGE(AC84:AC87,3),AC84:AC87,0))</f>
        <v/>
      </c>
      <c r="O86" s="16">
        <f>INDEX(Y84:Y87,MATCH(LARGE(AC84:AC87,3),AC84:AC87,0))</f>
        <v/>
      </c>
      <c r="P86" s="16">
        <f>INDEX(Z84:Z87,MATCH(LARGE(AC84:AC87,3),AC84:AC87,0))</f>
        <v/>
      </c>
      <c r="Q86" s="16">
        <f>INDEX(AA84:AA87,MATCH(LARGE(AC84:AC87,3),AC84:AC87,0))</f>
        <v/>
      </c>
      <c r="R86" s="16">
        <f>INDEX(AB84:AB87,MATCH(LARGE(AC84:AC87,3),AC84:AC87,0))</f>
        <v/>
      </c>
      <c r="T86">
        <f>B85</f>
        <v/>
      </c>
      <c r="U86">
        <f>IF(AND(ISNUMBER(D85),ISNUMBER(E85)),1,0)+IF(AND(ISNUMBER(D86),ISNUMBER(E86)),1,0)+IF(AND(ISNUMBER(D89),ISNUMBER(E89)),1,0)</f>
        <v/>
      </c>
      <c r="V86">
        <f>IF(AND(ISNUMBER(D85),ISNUMBER(E85),D85&gt;E85),1,0)+IF(AND(ISNUMBER(D86),ISNUMBER(E86),E86&gt;D86),1,0)+IF(AND(ISNUMBER(D89),ISNUMBER(E89),E89&gt;D89),1,0)</f>
        <v/>
      </c>
      <c r="W86">
        <f>IF(AND(ISNUMBER(D85),ISNUMBER(E85),D85=E85),1,0)+IF(AND(ISNUMBER(D86),ISNUMBER(E86),D86=E86),1,0)+IF(AND(ISNUMBER(D89),ISNUMBER(E89),D89=E89),1,0)</f>
        <v/>
      </c>
      <c r="X86">
        <f>U86-V86-W86</f>
        <v/>
      </c>
      <c r="Y86">
        <f>IF(ISNUMBER(D85),D85,0)+IF(ISNUMBER(E86),E86,0)+IF(ISNUMBER(E89),E89,0)</f>
        <v/>
      </c>
      <c r="Z86">
        <f>IF(ISNUMBER(E85),E85,0)+IF(ISNUMBER(D86),D86,0)+IF(ISNUMBER(D89),D89,0)</f>
        <v/>
      </c>
      <c r="AA86">
        <f>Y86-Z86</f>
        <v/>
      </c>
      <c r="AB86">
        <f>V86*3+W86</f>
        <v/>
      </c>
      <c r="AC86">
        <f>AB86*1000000+(AA86+100)*1000+Y86*10+2</f>
        <v/>
      </c>
    </row>
    <row r="87" ht="15" customHeight="1">
      <c r="B87" s="9" t="inlineStr">
        <is>
          <t>Croacia 🇭🇷</t>
        </is>
      </c>
      <c r="C87" s="10" t="inlineStr">
        <is>
          <t>G-L2-L4</t>
        </is>
      </c>
      <c r="D87" s="11" t="n">
        <v>1</v>
      </c>
      <c r="E87" s="11" t="n">
        <v>0</v>
      </c>
      <c r="F87" s="12" t="inlineStr">
        <is>
          <t>🇵🇦 Panamá</t>
        </is>
      </c>
      <c r="G87" s="13" t="inlineStr">
        <is>
          <t>Grupo L · J2</t>
        </is>
      </c>
      <c r="I87" s="16" t="n">
        <v>4</v>
      </c>
      <c r="J87" s="17">
        <f>INDEX(T84:T87,MATCH(LARGE(AC84:AC87,4),AC84:AC87,0))</f>
        <v/>
      </c>
      <c r="K87" s="16">
        <f>INDEX(U84:U87,MATCH(LARGE(AC84:AC87,4),AC84:AC87,0))</f>
        <v/>
      </c>
      <c r="L87" s="16">
        <f>INDEX(V84:V87,MATCH(LARGE(AC84:AC87,4),AC84:AC87,0))</f>
        <v/>
      </c>
      <c r="M87" s="16">
        <f>INDEX(W84:W87,MATCH(LARGE(AC84:AC87,4),AC84:AC87,0))</f>
        <v/>
      </c>
      <c r="N87" s="16">
        <f>INDEX(X84:X87,MATCH(LARGE(AC84:AC87,4),AC84:AC87,0))</f>
        <v/>
      </c>
      <c r="O87" s="16">
        <f>INDEX(Y84:Y87,MATCH(LARGE(AC84:AC87,4),AC84:AC87,0))</f>
        <v/>
      </c>
      <c r="P87" s="16">
        <f>INDEX(Z84:Z87,MATCH(LARGE(AC84:AC87,4),AC84:AC87,0))</f>
        <v/>
      </c>
      <c r="Q87" s="16">
        <f>INDEX(AA84:AA87,MATCH(LARGE(AC84:AC87,4),AC84:AC87,0))</f>
        <v/>
      </c>
      <c r="R87" s="16">
        <f>INDEX(AB84:AB87,MATCH(LARGE(AC84:AC87,4),AC84:AC87,0))</f>
        <v/>
      </c>
      <c r="T87">
        <f>F85</f>
        <v/>
      </c>
      <c r="U87">
        <f>IF(AND(ISNUMBER(D85),ISNUMBER(E85)),1,0)+IF(AND(ISNUMBER(D87),ISNUMBER(E87)),1,0)+IF(AND(ISNUMBER(D88),ISNUMBER(E88)),1,0)</f>
        <v/>
      </c>
      <c r="V87">
        <f>IF(AND(ISNUMBER(D85),ISNUMBER(E85),E85&gt;D85),1,0)+IF(AND(ISNUMBER(D87),ISNUMBER(E87),E87&gt;D87),1,0)+IF(AND(ISNUMBER(D88),ISNUMBER(E88),E88&gt;D88),1,0)</f>
        <v/>
      </c>
      <c r="W87">
        <f>IF(AND(ISNUMBER(D85),ISNUMBER(E85),D85=E85),1,0)+IF(AND(ISNUMBER(D87),ISNUMBER(E87),D87=E87),1,0)+IF(AND(ISNUMBER(D88),ISNUMBER(E88),D88=E88),1,0)</f>
        <v/>
      </c>
      <c r="X87">
        <f>U87-V87-W87</f>
        <v/>
      </c>
      <c r="Y87">
        <f>IF(ISNUMBER(E85),E85,0)+IF(ISNUMBER(E87),E87,0)+IF(ISNUMBER(E88),E88,0)</f>
        <v/>
      </c>
      <c r="Z87">
        <f>IF(ISNUMBER(D85),D85,0)+IF(ISNUMBER(D87),D87,0)+IF(ISNUMBER(D88),D88,0)</f>
        <v/>
      </c>
      <c r="AA87">
        <f>Y87-Z87</f>
        <v/>
      </c>
      <c r="AB87">
        <f>V87*3+W87</f>
        <v/>
      </c>
      <c r="AC87">
        <f>AB87*1000000+(AA87+100)*1000+Y87*10+1</f>
        <v/>
      </c>
    </row>
    <row r="88" ht="15" customHeight="1">
      <c r="B88" s="9" t="inlineStr">
        <is>
          <t>Inglaterra 🏴󠁧󠁢󠁥󠁮󠁧󠁿</t>
        </is>
      </c>
      <c r="C88" s="10" t="inlineStr">
        <is>
          <t>G-L1-L4</t>
        </is>
      </c>
      <c r="D88" s="11" t="n">
        <v>3</v>
      </c>
      <c r="E88" s="11" t="n">
        <v>0</v>
      </c>
      <c r="F88" s="12" t="inlineStr">
        <is>
          <t>🇵🇦 Panamá</t>
        </is>
      </c>
      <c r="G88" s="13" t="inlineStr">
        <is>
          <t>Grupo L · J3</t>
        </is>
      </c>
    </row>
    <row r="89" ht="15" customHeight="1">
      <c r="B89" s="9" t="inlineStr">
        <is>
          <t>Croacia 🇭🇷</t>
        </is>
      </c>
      <c r="C89" s="10" t="inlineStr">
        <is>
          <t>G-L2-L3</t>
        </is>
      </c>
      <c r="D89" s="11" t="n">
        <v>1</v>
      </c>
      <c r="E89" s="11" t="n">
        <v>1</v>
      </c>
      <c r="F89" s="12" t="inlineStr">
        <is>
          <t>🇬🇭 Ghana</t>
        </is>
      </c>
      <c r="G89" s="13" t="inlineStr">
        <is>
          <t>Grupo L · J3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mergeCells count="15">
    <mergeCell ref="B3:G3"/>
    <mergeCell ref="B20:G20"/>
    <mergeCell ref="B34:G34"/>
    <mergeCell ref="B48:G48"/>
    <mergeCell ref="B76:G76"/>
    <mergeCell ref="C2:G2"/>
    <mergeCell ref="B27:G27"/>
    <mergeCell ref="B1:G1"/>
    <mergeCell ref="B41:G41"/>
    <mergeCell ref="B55:G55"/>
    <mergeCell ref="B83:G83"/>
    <mergeCell ref="B13:G13"/>
    <mergeCell ref="B62:G62"/>
    <mergeCell ref="B69:G69"/>
    <mergeCell ref="B6:G6"/>
  </mergeCells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B1:D5"/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baseColWidth="8" defaultColWidth="8.6796875" defaultRowHeight="15"/>
  <cols>
    <col width="3" customWidth="1" min="1" max="1"/>
    <col width="28" customWidth="1" min="2" max="2"/>
    <col width="35" customWidth="1" min="3" max="3"/>
    <col width="20" customWidth="1" min="4" max="4"/>
  </cols>
  <sheetData>
    <row r="1" ht="25.5" customHeight="1">
      <c r="B1" s="1" t="inlineStr">
        <is>
          <t>PREMIOS ESPECIALES  ·  +15 pts cada uno</t>
        </is>
      </c>
    </row>
    <row r="2" ht="27.75" customHeight="1">
      <c r="B2" s="19" t="inlineStr">
        <is>
          <t>Escribe el nombre del jugador que crees ganara cada premio. Fecha limite: 11 jun 2026 a las 17:00 h.</t>
        </is>
      </c>
      <c r="C2" s="22" t="n"/>
      <c r="D2" s="23" t="n"/>
    </row>
    <row r="3" ht="25.5" customHeight="1">
      <c r="B3" s="20" t="inlineStr">
        <is>
          <t>MVP del Torneo</t>
        </is>
      </c>
      <c r="C3" s="4" t="inlineStr">
        <is>
          <t>Lamine</t>
        </is>
      </c>
      <c r="D3" s="21" t="inlineStr">
        <is>
          <t>Mejor jugador del torneo (FIFA)</t>
        </is>
      </c>
    </row>
    <row r="4" ht="25.5" customHeight="1">
      <c r="B4" s="20" t="inlineStr">
        <is>
          <t>Goleador del Torneo</t>
        </is>
      </c>
      <c r="C4" s="4" t="inlineStr">
        <is>
          <t>Mbappé</t>
        </is>
      </c>
      <c r="D4" s="21" t="inlineStr">
        <is>
          <t>Maximo anotador · Bota de Oro FIFA</t>
        </is>
      </c>
    </row>
    <row r="5" ht="25.5" customHeight="1">
      <c r="B5" s="20" t="inlineStr">
        <is>
          <t>Portero del Torneo</t>
        </is>
      </c>
      <c r="C5" s="4" t="inlineStr">
        <is>
          <t>Pickford</t>
        </is>
      </c>
      <c r="D5" s="21" t="inlineStr">
        <is>
          <t>Mejor portero · Guante de Oro FIFA</t>
        </is>
      </c>
    </row>
  </sheetData>
  <mergeCells count="2">
    <mergeCell ref="B1:D1"/>
    <mergeCell ref="B2:D2"/>
  </mergeCells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2026-06-08T15:01:14Z</dcterms:created>
  <dcterms:modified xmlns:dcterms="http://purl.org/dc/terms/" xmlns:xsi="http://www.w3.org/2001/XMLSchema-instance" xsi:type="dcterms:W3CDTF">2026-06-09T11:38:21Z</dcterms:modified>
  <cp:revision>2</cp:revision>
</cp:coreProperties>
</file>